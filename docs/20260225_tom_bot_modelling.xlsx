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rupprechter/Downloads/"/>
    </mc:Choice>
  </mc:AlternateContent>
  <xr:revisionPtr revIDLastSave="0" documentId="8_{E65E6CB6-F532-7E4A-840B-2E7477A54918}" xr6:coauthVersionLast="47" xr6:coauthVersionMax="47" xr10:uidLastSave="{00000000-0000-0000-0000-000000000000}"/>
  <bookViews>
    <workbookView xWindow="1100" yWindow="820" windowWidth="28040" windowHeight="17300" xr2:uid="{980E90CC-98C8-DF4B-BE3B-DF688D338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5" i="1"/>
  <c r="C43" i="1"/>
  <c r="C39" i="1"/>
  <c r="C40" i="1"/>
  <c r="C42" i="1"/>
  <c r="C41" i="1"/>
  <c r="C26" i="1"/>
  <c r="C28" i="1" s="1"/>
  <c r="B28" i="1"/>
  <c r="B27" i="1" s="1"/>
  <c r="C29" i="1"/>
  <c r="D26" i="1" s="1"/>
  <c r="D29" i="1"/>
  <c r="E26" i="1" s="1"/>
  <c r="A76" i="1"/>
  <c r="A75" i="1"/>
  <c r="A74" i="1"/>
  <c r="A73" i="1"/>
  <c r="A72" i="1"/>
  <c r="A71" i="1"/>
  <c r="A70" i="1"/>
  <c r="A69" i="1"/>
  <c r="A68" i="1"/>
  <c r="A67" i="1"/>
  <c r="A66" i="1"/>
  <c r="A65" i="1"/>
  <c r="M42" i="1"/>
  <c r="L42" i="1"/>
  <c r="K42" i="1"/>
  <c r="J42" i="1"/>
  <c r="I42" i="1"/>
  <c r="H42" i="1"/>
  <c r="G42" i="1"/>
  <c r="F42" i="1"/>
  <c r="E42" i="1"/>
  <c r="D42" i="1"/>
  <c r="B42" i="1"/>
  <c r="M41" i="1"/>
  <c r="L41" i="1"/>
  <c r="K41" i="1"/>
  <c r="J41" i="1"/>
  <c r="I41" i="1"/>
  <c r="H41" i="1"/>
  <c r="G41" i="1"/>
  <c r="F41" i="1"/>
  <c r="E41" i="1"/>
  <c r="D41" i="1"/>
  <c r="B41" i="1"/>
  <c r="M40" i="1"/>
  <c r="L40" i="1"/>
  <c r="K40" i="1"/>
  <c r="J40" i="1"/>
  <c r="I40" i="1"/>
  <c r="H40" i="1"/>
  <c r="G40" i="1"/>
  <c r="F40" i="1"/>
  <c r="E40" i="1"/>
  <c r="D40" i="1"/>
  <c r="B40" i="1"/>
  <c r="M39" i="1"/>
  <c r="L39" i="1"/>
  <c r="K39" i="1"/>
  <c r="J39" i="1"/>
  <c r="I39" i="1"/>
  <c r="H39" i="1"/>
  <c r="G39" i="1"/>
  <c r="F39" i="1"/>
  <c r="E39" i="1"/>
  <c r="D39" i="1"/>
  <c r="B39" i="1"/>
  <c r="M34" i="1"/>
  <c r="L34" i="1"/>
  <c r="K34" i="1"/>
  <c r="J34" i="1"/>
  <c r="I34" i="1"/>
  <c r="H34" i="1"/>
  <c r="G34" i="1"/>
  <c r="F34" i="1"/>
  <c r="E34" i="1"/>
  <c r="D34" i="1"/>
  <c r="C34" i="1"/>
  <c r="B34" i="1"/>
  <c r="B33" i="1"/>
  <c r="B54" i="1"/>
  <c r="B32" i="1"/>
  <c r="B55" i="1" s="1"/>
  <c r="E29" i="1" l="1"/>
  <c r="B57" i="1"/>
  <c r="C27" i="1"/>
  <c r="E28" i="1"/>
  <c r="E27" i="1" s="1"/>
  <c r="D28" i="1"/>
  <c r="D27" i="1" s="1"/>
  <c r="B43" i="1"/>
  <c r="C65" i="1" s="1"/>
  <c r="J43" i="1"/>
  <c r="C73" i="1" s="1"/>
  <c r="I43" i="1"/>
  <c r="J62" i="1" s="1"/>
  <c r="K43" i="1"/>
  <c r="L43" i="1"/>
  <c r="C75" i="1" s="1"/>
  <c r="D43" i="1"/>
  <c r="D47" i="1" s="1"/>
  <c r="M43" i="1"/>
  <c r="C76" i="1" s="1"/>
  <c r="G43" i="1"/>
  <c r="C70" i="1" s="1"/>
  <c r="C66" i="1"/>
  <c r="E43" i="1"/>
  <c r="C68" i="1" s="1"/>
  <c r="F43" i="1"/>
  <c r="G62" i="1" s="1"/>
  <c r="H43" i="1"/>
  <c r="I62" i="1" s="1"/>
  <c r="K47" i="1"/>
  <c r="L62" i="1"/>
  <c r="C74" i="1"/>
  <c r="C62" i="1"/>
  <c r="L47" i="1"/>
  <c r="B35" i="1"/>
  <c r="B65" i="1" s="1"/>
  <c r="B47" i="1" l="1"/>
  <c r="J47" i="1"/>
  <c r="K62" i="1"/>
  <c r="C72" i="1"/>
  <c r="I47" i="1"/>
  <c r="F26" i="1"/>
  <c r="F28" i="1" s="1"/>
  <c r="F29" i="1"/>
  <c r="M62" i="1"/>
  <c r="E62" i="1"/>
  <c r="C67" i="1"/>
  <c r="E47" i="1"/>
  <c r="N62" i="1"/>
  <c r="F62" i="1"/>
  <c r="F47" i="1"/>
  <c r="D62" i="1"/>
  <c r="C69" i="1"/>
  <c r="M47" i="1"/>
  <c r="G47" i="1"/>
  <c r="H62" i="1"/>
  <c r="C47" i="1"/>
  <c r="C71" i="1"/>
  <c r="H47" i="1"/>
  <c r="B46" i="1"/>
  <c r="B56" i="1"/>
  <c r="C61" i="1"/>
  <c r="G26" i="1" l="1"/>
  <c r="G28" i="1" s="1"/>
  <c r="G29" i="1"/>
  <c r="F27" i="1"/>
  <c r="B48" i="1"/>
  <c r="H26" i="1" l="1"/>
  <c r="H28" i="1" s="1"/>
  <c r="H29" i="1"/>
  <c r="G27" i="1"/>
  <c r="B58" i="1"/>
  <c r="B51" i="1"/>
  <c r="B49" i="1"/>
  <c r="D57" i="1"/>
  <c r="C33" i="1"/>
  <c r="C54" i="1"/>
  <c r="C32" i="1"/>
  <c r="C35" i="1" l="1"/>
  <c r="H27" i="1"/>
  <c r="I29" i="1"/>
  <c r="I26" i="1"/>
  <c r="I28" i="1" s="1"/>
  <c r="C56" i="1"/>
  <c r="B66" i="1"/>
  <c r="D61" i="1"/>
  <c r="C46" i="1"/>
  <c r="J26" i="1" l="1"/>
  <c r="J28" i="1" s="1"/>
  <c r="I27" i="1"/>
  <c r="J29" i="1"/>
  <c r="C48" i="1"/>
  <c r="C49" i="1" s="1"/>
  <c r="D32" i="1"/>
  <c r="D54" i="1"/>
  <c r="D33" i="1"/>
  <c r="K29" i="1" l="1"/>
  <c r="J27" i="1"/>
  <c r="K26" i="1"/>
  <c r="K28" i="1" s="1"/>
  <c r="E57" i="1"/>
  <c r="D55" i="1"/>
  <c r="D35" i="1"/>
  <c r="B67" i="1" s="1"/>
  <c r="C58" i="1"/>
  <c r="C51" i="1"/>
  <c r="K27" i="1" l="1"/>
  <c r="L26" i="1"/>
  <c r="L28" i="1" s="1"/>
  <c r="L29" i="1"/>
  <c r="D46" i="1"/>
  <c r="E61" i="1"/>
  <c r="D56" i="1"/>
  <c r="M29" i="1" l="1"/>
  <c r="L27" i="1"/>
  <c r="M26" i="1"/>
  <c r="M28" i="1" s="1"/>
  <c r="E32" i="1"/>
  <c r="E33" i="1"/>
  <c r="E54" i="1"/>
  <c r="D48" i="1"/>
  <c r="D49" i="1" s="1"/>
  <c r="M27" i="1" l="1"/>
  <c r="D58" i="1"/>
  <c r="D51" i="1"/>
  <c r="E35" i="1"/>
  <c r="B68" i="1" s="1"/>
  <c r="E55" i="1"/>
  <c r="F57" i="1"/>
  <c r="F61" i="1" l="1"/>
  <c r="E46" i="1"/>
  <c r="E56" i="1"/>
  <c r="E48" i="1" l="1"/>
  <c r="E49" i="1"/>
  <c r="F32" i="1"/>
  <c r="F54" i="1"/>
  <c r="F33" i="1"/>
  <c r="G57" i="1" l="1"/>
  <c r="F35" i="1"/>
  <c r="B69" i="1" s="1"/>
  <c r="F55" i="1"/>
  <c r="E58" i="1"/>
  <c r="E51" i="1"/>
  <c r="G61" i="1" l="1"/>
  <c r="F46" i="1"/>
  <c r="F56" i="1"/>
  <c r="G32" i="1" l="1"/>
  <c r="G33" i="1"/>
  <c r="G54" i="1"/>
  <c r="F48" i="1"/>
  <c r="F58" i="1" l="1"/>
  <c r="F51" i="1"/>
  <c r="F49" i="1"/>
  <c r="H57" i="1"/>
  <c r="G55" i="1"/>
  <c r="G35" i="1"/>
  <c r="B70" i="1" s="1"/>
  <c r="G46" i="1" l="1"/>
  <c r="H61" i="1"/>
  <c r="G56" i="1"/>
  <c r="H33" i="1" l="1"/>
  <c r="H32" i="1"/>
  <c r="H54" i="1"/>
  <c r="G48" i="1"/>
  <c r="G49" i="1" s="1"/>
  <c r="I57" i="1" l="1"/>
  <c r="H35" i="1"/>
  <c r="B71" i="1" s="1"/>
  <c r="H55" i="1"/>
  <c r="G58" i="1"/>
  <c r="G51" i="1"/>
  <c r="I61" i="1" l="1"/>
  <c r="H46" i="1"/>
  <c r="H56" i="1"/>
  <c r="I33" i="1"/>
  <c r="I54" i="1"/>
  <c r="I32" i="1"/>
  <c r="J57" i="1" l="1"/>
  <c r="H48" i="1"/>
  <c r="H49" i="1" s="1"/>
  <c r="I35" i="1"/>
  <c r="B72" i="1" s="1"/>
  <c r="I55" i="1"/>
  <c r="I46" i="1" l="1"/>
  <c r="J61" i="1"/>
  <c r="I56" i="1"/>
  <c r="H58" i="1"/>
  <c r="H51" i="1"/>
  <c r="J33" i="1" l="1"/>
  <c r="J32" i="1"/>
  <c r="J54" i="1"/>
  <c r="I48" i="1"/>
  <c r="I58" i="1" s="1"/>
  <c r="I49" i="1"/>
  <c r="J55" i="1" l="1"/>
  <c r="J35" i="1"/>
  <c r="B73" i="1" s="1"/>
  <c r="K57" i="1"/>
  <c r="I51" i="1"/>
  <c r="K33" i="1" l="1"/>
  <c r="K54" i="1"/>
  <c r="K32" i="1"/>
  <c r="J46" i="1"/>
  <c r="K61" i="1"/>
  <c r="J56" i="1"/>
  <c r="J48" i="1" l="1"/>
  <c r="J49" i="1" s="1"/>
  <c r="K35" i="1"/>
  <c r="B74" i="1" s="1"/>
  <c r="K55" i="1"/>
  <c r="L57" i="1"/>
  <c r="K46" i="1" l="1"/>
  <c r="L61" i="1"/>
  <c r="K56" i="1"/>
  <c r="J58" i="1"/>
  <c r="J51" i="1"/>
  <c r="K48" i="1" l="1"/>
  <c r="K58" i="1" s="1"/>
  <c r="L54" i="1"/>
  <c r="L33" i="1"/>
  <c r="L32" i="1"/>
  <c r="K51" i="1" l="1"/>
  <c r="K49" i="1"/>
  <c r="L55" i="1"/>
  <c r="L35" i="1"/>
  <c r="B75" i="1" s="1"/>
  <c r="M57" i="1"/>
  <c r="M33" i="1" l="1"/>
  <c r="M32" i="1"/>
  <c r="M54" i="1"/>
  <c r="M61" i="1"/>
  <c r="L46" i="1"/>
  <c r="L56" i="1"/>
  <c r="L48" i="1" l="1"/>
  <c r="L49" i="1" s="1"/>
  <c r="M35" i="1"/>
  <c r="B76" i="1" s="1"/>
  <c r="M55" i="1"/>
  <c r="N61" i="1" l="1"/>
  <c r="M46" i="1"/>
  <c r="M56" i="1"/>
  <c r="L58" i="1"/>
  <c r="L51" i="1"/>
  <c r="M48" i="1" l="1"/>
  <c r="M58" i="1" s="1"/>
  <c r="M49" i="1" l="1"/>
  <c r="M51" i="1"/>
</calcChain>
</file>

<file path=xl/sharedStrings.xml><?xml version="1.0" encoding="utf-8"?>
<sst xmlns="http://schemas.openxmlformats.org/spreadsheetml/2006/main" count="85" uniqueCount="66">
  <si>
    <t>ASSUMPTIONS</t>
  </si>
  <si>
    <t>Pricing &amp; Revenue</t>
  </si>
  <si>
    <t>Subscription price (€/mo)</t>
  </si>
  <si>
    <t>Commission rate on products</t>
  </si>
  <si>
    <t>Avg order value (€)</t>
  </si>
  <si>
    <t>Orders per user per month</t>
  </si>
  <si>
    <t>Brand partnership fee (€/mo)</t>
  </si>
  <si>
    <t>Starting brand partners (Month 1)</t>
  </si>
  <si>
    <t>New brand partners per month</t>
  </si>
  <si>
    <t>User Growth</t>
  </si>
  <si>
    <t>Paying users Month 1</t>
  </si>
  <si>
    <t>Monthly new user growth rate</t>
  </si>
  <si>
    <t>Monthly churn rate</t>
  </si>
  <si>
    <t>Costs</t>
  </si>
  <si>
    <t>Founder salaries (€/mo total, 3x)</t>
  </si>
  <si>
    <t>Hosting &amp; infra (€/mo base)</t>
  </si>
  <si>
    <t>Ad spend (€/mo)</t>
  </si>
  <si>
    <t>Dev tools &amp; misc (€/mo)</t>
  </si>
  <si>
    <t>MONTHLY MODEL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</si>
  <si>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</si>
  <si>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</si>
  <si>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</si>
  <si>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</si>
  <si>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</si>
  <si>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</si>
  <si>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</si>
  <si>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</si>
  <si>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</si>
  <si>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</si>
  <si>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</si>
  <si>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</si>
  <si>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User Metrics</t>
  </si>
  <si>
    <t>Starting users</t>
  </si>
  <si>
    <t>New users</t>
  </si>
  <si>
    <t>Churned users</t>
  </si>
  <si>
    <t>Ending active users</t>
  </si>
  <si>
    <t>Revenue</t>
  </si>
  <si>
    <t>Subscription revenue</t>
  </si>
  <si>
    <t>Commission revenue</t>
  </si>
  <si>
    <t>Brand partnerships</t>
  </si>
  <si>
    <t>Total Revenue</t>
  </si>
  <si>
    <t>Founder salaries</t>
  </si>
  <si>
    <t>Hosting &amp; infra</t>
  </si>
  <si>
    <t>Ad spend</t>
  </si>
  <si>
    <t>Dev tools &amp; misc</t>
  </si>
  <si>
    <t>Total Costs</t>
  </si>
  <si>
    <t>P&amp;L SUMMARY</t>
  </si>
  <si>
    <t>Monthly Profit / (Loss)</t>
  </si>
  <si>
    <t>Profit margin</t>
  </si>
  <si>
    <t>Cumulative Profit / (Loss)</t>
  </si>
  <si>
    <t>KEY METRICS</t>
  </si>
  <si>
    <t>Active paying users</t>
  </si>
  <si>
    <t>MRR (Monthly Recurring Rev.)</t>
  </si>
  <si>
    <t>ARPU (€/user/mo)</t>
  </si>
  <si>
    <t>CAC (cost per new user)</t>
  </si>
  <si>
    <t>Breakeven?</t>
  </si>
  <si>
    <t>Month</t>
  </si>
  <si>
    <t>TOMBOT - BACK OF THE ENVELOPE MODEL</t>
  </si>
  <si>
    <t>EXPECTED REVENUE STREAMS</t>
  </si>
  <si>
    <t>Subscriptions</t>
  </si>
  <si>
    <t>€10/mo per user; core recurring revenue, ~75% of mix by M12</t>
  </si>
  <si>
    <t>Commissions</t>
  </si>
  <si>
    <t>10% take on €30 AOV at 0.5 orders/user/mo; scales with user base, ~11% of mix</t>
  </si>
  <si>
    <t>Brand Partnerships</t>
  </si>
  <si>
    <t>€2k/mo per partner; starts at 2, adds 1/mo; linear growth, ~13% of mix</t>
  </si>
  <si>
    <t>Subscriptions dominate as the user base compounds; commissions add transactional upside; partnerships provide steady, high-margin diversification.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</si>
</sst>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"/>
    <numFmt numFmtId="165" formatCode="0.0"/>
    <numFmt numFmtId="166" formatCode="\€#,##0;\(\€#,##0\);&quot;-&quot;"/>
    <numFmt numFmtId="167" formatCode="0.0%"/>
    <numFmt numFmtId="168" formatCode="\€#,##0.00"/>
  </numFmts>
  <fonts count="10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rgb="FF1F3864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8000"/>
      <name val="Arial"/>
      <family val="2"/>
    </font>
    <font>
      <sz val="10"/>
      <color rgb="FF595959"/>
      <name val="Arial"/>
      <family val="2"/>
    </font>
    <font>
      <b/>
      <i/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9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0" fillId="2" borderId="0" xfId="0" applyFill="1"/>
    <xf numFmtId="0" fontId="6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3" fontId="4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0" xfId="0" applyFill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4" fillId="0" borderId="0" xfId="0" applyNumberFormat="1" applyFont="1" applyAlignment="1">
      <alignment horizontal="right"/>
    </xf>
    <xf numFmtId="166" fontId="0" fillId="0" borderId="1" xfId="0" applyNumberFormat="1" applyBorder="1" applyAlignment="1">
      <alignment horizontal="right"/>
    </xf>
    <xf numFmtId="168" fontId="4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Costs (€)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Sheet1!$A$65:$A$76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Sheet1!$B$65:$B$76</c:f>
              <c:numCache>
                <c:formatCode>General</c:formatCode>
                <c:ptCount val="12"/>
                <c:pt idx="0">
                  <c:v>27000</c:v>
                </c:pt>
                <c:pt idx="1">
                  <c:v>33600</c:v>
                </c:pt>
                <c:pt idx="2">
                  <c:v>41120</c:v>
                </c:pt>
                <c:pt idx="3">
                  <c:v>49744</c:v>
                </c:pt>
                <c:pt idx="4">
                  <c:v>59690.5</c:v>
                </c:pt>
                <c:pt idx="5">
                  <c:v>71224</c:v>
                </c:pt>
                <c:pt idx="6">
                  <c:v>84666.5</c:v>
                </c:pt>
                <c:pt idx="7">
                  <c:v>100397.5</c:v>
                </c:pt>
                <c:pt idx="8">
                  <c:v>118877</c:v>
                </c:pt>
                <c:pt idx="9">
                  <c:v>140657</c:v>
                </c:pt>
                <c:pt idx="10">
                  <c:v>166393</c:v>
                </c:pt>
                <c:pt idx="11">
                  <c:v>196867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C-5346-A602-3D8DF535BCD3}"/>
            </c:ext>
          </c:extLst>
        </c:ser>
        <c:ser>
          <c:idx val="1"/>
          <c:order val="1"/>
          <c:tx>
            <c:strRef>
              <c:f>Sheet1!$C$64</c:f>
              <c:strCache>
                <c:ptCount val="1"/>
                <c:pt idx="0">
                  <c:v>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Sheet1!$A$65:$A$76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Sheet1!$C$65:$C$76</c:f>
              <c:numCache>
                <c:formatCode>General</c:formatCode>
                <c:ptCount val="12"/>
                <c:pt idx="0">
                  <c:v>21250</c:v>
                </c:pt>
                <c:pt idx="1">
                  <c:v>21250</c:v>
                </c:pt>
                <c:pt idx="2">
                  <c:v>21250</c:v>
                </c:pt>
                <c:pt idx="3">
                  <c:v>21250</c:v>
                </c:pt>
                <c:pt idx="4">
                  <c:v>21250</c:v>
                </c:pt>
                <c:pt idx="5">
                  <c:v>21250</c:v>
                </c:pt>
                <c:pt idx="6">
                  <c:v>21250</c:v>
                </c:pt>
                <c:pt idx="7">
                  <c:v>21250</c:v>
                </c:pt>
                <c:pt idx="8">
                  <c:v>21250</c:v>
                </c:pt>
                <c:pt idx="9">
                  <c:v>21250</c:v>
                </c:pt>
                <c:pt idx="10">
                  <c:v>21250</c:v>
                </c:pt>
                <c:pt idx="11">
                  <c:v>21250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C-5346-A602-3D8DF535B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947231"/>
        <c:axId val="1855944383"/>
      </c:lineChart>
      <c:catAx>
        <c:axId val="185594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44383"/>
        <c:crosses val="autoZero"/>
        <c:auto val="1"/>
        <c:lblAlgn val="ctr"/>
        <c:lblOffset val="100"/>
        <c:noMultiLvlLbl val="0"/>
      </c:catAx>
      <c:valAx>
        <c:axId val="185594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4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863600</xdr:colOff>
      <xdr:row>64</xdr:row>
      <xdr:rowOff>76200</xdr:rowOff>
    </xdr:from>
    <xdr:to>
      <xdr:col>10</xdr:col>
      <xdr:colOff>292100</xdr:colOff>
      <xdr:row>83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D02BB0-EA56-BB92-243C-BE54F1086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A22F5F-4EBF-8A4C-801B-C56D739EC1D3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F769-1F7A-8149-8184-8739B2857E5B}">
  <dimension ref="A1:Q76"/>
  <sheetViews>
    <sheetView tabSelected="1" topLeftCell="A16" workbookViewId="0">
      <selection activeCell="C58" sqref="C58"/>
    </sheetView>
  </sheetViews>
  <sheetFormatPr baseColWidth="10" defaultRowHeight="16" x14ac:dyDescent="0.2"/>
  <cols>
    <col min="1" max="1" width="33.33203125" customWidth="1"/>
    <col min="2" max="2" width="63.33203125" customWidth="1"/>
    <col min="3" max="14" width="14.1640625" customWidth="1"/>
  </cols>
  <sheetData>
    <row r="1" spans="1:17" ht="18" x14ac:dyDescent="0.2">
      <c r="A1" s="1" t="s">
        <v>57</v>
      </c>
    </row>
    <row r="3" spans="1:17" x14ac:dyDescent="0.2">
      <c r="A3" s="2" t="s">
        <v>0</v>
      </c>
      <c r="B3" s="2"/>
      <c r="D3" s="2" t="s">
        <v>58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x14ac:dyDescent="0.2">
      <c r="A4" s="3" t="s">
        <v>1</v>
      </c>
      <c r="D4" s="3" t="s">
        <v>59</v>
      </c>
      <c r="E4" s="26" t="s">
        <v>60</v>
      </c>
    </row>
    <row r="5" spans="1:17" x14ac:dyDescent="0.2">
      <c r="A5" s="4" t="s">
        <v>2</v>
      </c>
      <c r="B5" s="5">
        <v>10</v>
      </c>
      <c r="D5" s="3" t="s">
        <v>61</v>
      </c>
      <c r="E5" s="26" t="s">
        <v>62</v>
      </c>
    </row>
    <row r="6" spans="1:17" x14ac:dyDescent="0.2">
      <c r="A6" s="4" t="s">
        <v>3</v>
      </c>
      <c r="B6" s="6">
        <v>0.1</v>
      </c>
      <c r="D6" s="3" t="s">
        <v>63</v>
      </c>
      <c r="E6" s="26" t="s">
        <v>64</v>
      </c>
    </row>
    <row r="7" spans="1:17" x14ac:dyDescent="0.2">
      <c r="A7" s="4" t="s">
        <v>4</v>
      </c>
      <c r="B7" s="5">
        <v>30</v>
      </c>
    </row>
    <row r="8" spans="1:17" x14ac:dyDescent="0.2">
      <c r="A8" s="4" t="s">
        <v>5</v>
      </c>
      <c r="B8" s="7">
        <v>0.5</v>
      </c>
      <c r="D8" s="28" t="s">
        <v>65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1:17" x14ac:dyDescent="0.2">
      <c r="A9" s="4" t="s">
        <v>6</v>
      </c>
      <c r="B9" s="5">
        <v>2000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 x14ac:dyDescent="0.2">
      <c r="A10" s="4" t="s">
        <v>7</v>
      </c>
      <c r="B10" s="8">
        <v>2</v>
      </c>
    </row>
    <row r="11" spans="1:17" x14ac:dyDescent="0.2">
      <c r="A11" s="4" t="s">
        <v>8</v>
      </c>
      <c r="B11" s="8">
        <v>1</v>
      </c>
      <c r="D11" s="3"/>
    </row>
    <row r="12" spans="1:17" x14ac:dyDescent="0.2"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17" x14ac:dyDescent="0.2">
      <c r="A13" s="3" t="s">
        <v>9</v>
      </c>
    </row>
    <row r="14" spans="1:17" x14ac:dyDescent="0.2">
      <c r="A14" s="4" t="s">
        <v>10</v>
      </c>
      <c r="B14" s="9">
        <v>2000</v>
      </c>
      <c r="D14" s="3"/>
    </row>
    <row r="15" spans="1:17" x14ac:dyDescent="0.2">
      <c r="A15" s="4" t="s">
        <v>11</v>
      </c>
      <c r="B15" s="6">
        <v>0.2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x14ac:dyDescent="0.2">
      <c r="A16" s="4" t="s">
        <v>12</v>
      </c>
      <c r="B16" s="6">
        <v>0.1</v>
      </c>
    </row>
    <row r="18" spans="1:13" x14ac:dyDescent="0.2">
      <c r="A18" s="3" t="s">
        <v>13</v>
      </c>
    </row>
    <row r="19" spans="1:13" x14ac:dyDescent="0.2">
      <c r="A19" s="4" t="s">
        <v>14</v>
      </c>
      <c r="B19" s="5">
        <v>15000</v>
      </c>
    </row>
    <row r="20" spans="1:13" x14ac:dyDescent="0.2">
      <c r="A20" s="4" t="s">
        <v>15</v>
      </c>
      <c r="B20" s="5">
        <v>750</v>
      </c>
    </row>
    <row r="21" spans="1:13" x14ac:dyDescent="0.2">
      <c r="A21" s="4" t="s">
        <v>16</v>
      </c>
      <c r="B21" s="5">
        <v>5000</v>
      </c>
    </row>
    <row r="22" spans="1:13" x14ac:dyDescent="0.2">
      <c r="A22" s="4" t="s">
        <v>17</v>
      </c>
      <c r="B22" s="5">
        <v>500</v>
      </c>
    </row>
    <row r="24" spans="1:13" x14ac:dyDescent="0.2">
      <c r="A24" s="2" t="s">
        <v>18</v>
      </c>
      <c r="B24" s="12" t="s">
        <v>19</v>
      </c>
      <c r="C24" s="12" t="s">
        <v>20</v>
      </c>
      <c r="D24" s="12" t="s">
        <v>21</v>
      </c>
      <c r="E24" s="12" t="s">
        <v>22</v>
      </c>
      <c r="F24" s="12" t="s">
        <v>23</v>
      </c>
      <c r="G24" s="12" t="s">
        <v>24</v>
      </c>
      <c r="H24" s="12" t="s">
        <v>25</v>
      </c>
      <c r="I24" s="12" t="s">
        <v>26</v>
      </c>
      <c r="J24" s="12" t="s">
        <v>27</v>
      </c>
      <c r="K24" s="12" t="s">
        <v>28</v>
      </c>
      <c r="L24" s="12" t="s">
        <v>29</v>
      </c>
      <c r="M24" s="12" t="s">
        <v>30</v>
      </c>
    </row>
    <row r="25" spans="1:13" x14ac:dyDescent="0.2">
      <c r="A25" s="3" t="s">
        <v>31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4" t="s">
        <v>32</v>
      </c>
      <c r="B26" s="14">
        <v>0</v>
      </c>
      <c r="C26" s="14">
        <f>B29</f>
        <v>2000</v>
      </c>
      <c r="D26" s="14">
        <f t="shared" ref="D26:M26" si="0">C29</f>
        <v>2400</v>
      </c>
      <c r="E26" s="14">
        <f t="shared" si="0"/>
        <v>2880</v>
      </c>
      <c r="F26" s="14">
        <f t="shared" si="0"/>
        <v>3456</v>
      </c>
      <c r="G26" s="14">
        <f t="shared" si="0"/>
        <v>4147</v>
      </c>
      <c r="H26" s="14">
        <f t="shared" si="0"/>
        <v>4976</v>
      </c>
      <c r="I26" s="14">
        <f t="shared" si="0"/>
        <v>5971</v>
      </c>
      <c r="J26" s="14">
        <f t="shared" si="0"/>
        <v>7165</v>
      </c>
      <c r="K26" s="14">
        <f t="shared" si="0"/>
        <v>8598</v>
      </c>
      <c r="L26" s="14">
        <f t="shared" si="0"/>
        <v>10318</v>
      </c>
      <c r="M26" s="14">
        <f t="shared" si="0"/>
        <v>12382</v>
      </c>
    </row>
    <row r="27" spans="1:13" x14ac:dyDescent="0.2">
      <c r="A27" s="4" t="s">
        <v>33</v>
      </c>
      <c r="B27" s="15">
        <f>B29-B26-B28</f>
        <v>2000</v>
      </c>
      <c r="C27" s="14">
        <f>C29-C26-C28</f>
        <v>600</v>
      </c>
      <c r="D27" s="14">
        <f t="shared" ref="D27:M27" si="1">D29-D26-D28</f>
        <v>720</v>
      </c>
      <c r="E27" s="14">
        <f t="shared" si="1"/>
        <v>864</v>
      </c>
      <c r="F27" s="14">
        <f t="shared" si="1"/>
        <v>1037</v>
      </c>
      <c r="G27" s="14">
        <f t="shared" si="1"/>
        <v>1244</v>
      </c>
      <c r="H27" s="14">
        <f t="shared" si="1"/>
        <v>1493</v>
      </c>
      <c r="I27" s="14">
        <f t="shared" si="1"/>
        <v>1791</v>
      </c>
      <c r="J27" s="14">
        <f t="shared" si="1"/>
        <v>2150</v>
      </c>
      <c r="K27" s="14">
        <f t="shared" si="1"/>
        <v>2580</v>
      </c>
      <c r="L27" s="14">
        <f t="shared" si="1"/>
        <v>3096</v>
      </c>
      <c r="M27" s="14">
        <f t="shared" si="1"/>
        <v>3714</v>
      </c>
    </row>
    <row r="28" spans="1:13" x14ac:dyDescent="0.2">
      <c r="A28" s="4" t="s">
        <v>34</v>
      </c>
      <c r="B28" s="14">
        <f>-ROUND(B26*$B$16,0)</f>
        <v>0</v>
      </c>
      <c r="C28" s="14">
        <f>-ROUND(C26*$B$16,0)</f>
        <v>-200</v>
      </c>
      <c r="D28" s="14">
        <f t="shared" ref="D28:M28" si="2">-ROUND(D26*$B$16,0)</f>
        <v>-240</v>
      </c>
      <c r="E28" s="14">
        <f t="shared" si="2"/>
        <v>-288</v>
      </c>
      <c r="F28" s="14">
        <f t="shared" si="2"/>
        <v>-346</v>
      </c>
      <c r="G28" s="14">
        <f t="shared" si="2"/>
        <v>-415</v>
      </c>
      <c r="H28" s="14">
        <f t="shared" si="2"/>
        <v>-498</v>
      </c>
      <c r="I28" s="14">
        <f t="shared" si="2"/>
        <v>-597</v>
      </c>
      <c r="J28" s="14">
        <f t="shared" si="2"/>
        <v>-717</v>
      </c>
      <c r="K28" s="14">
        <f t="shared" si="2"/>
        <v>-860</v>
      </c>
      <c r="L28" s="14">
        <f t="shared" si="2"/>
        <v>-1032</v>
      </c>
      <c r="M28" s="14">
        <f t="shared" si="2"/>
        <v>-1238</v>
      </c>
    </row>
    <row r="29" spans="1:13" x14ac:dyDescent="0.2">
      <c r="A29" s="10" t="s">
        <v>35</v>
      </c>
      <c r="B29" s="16">
        <v>2000</v>
      </c>
      <c r="C29" s="16">
        <f>ROUND(B29*(1+$B$15),0)</f>
        <v>2400</v>
      </c>
      <c r="D29" s="16">
        <f t="shared" ref="D29:M29" si="3">ROUND(C29*(1+$B$15),0)</f>
        <v>2880</v>
      </c>
      <c r="E29" s="16">
        <f t="shared" si="3"/>
        <v>3456</v>
      </c>
      <c r="F29" s="16">
        <f t="shared" si="3"/>
        <v>4147</v>
      </c>
      <c r="G29" s="16">
        <f t="shared" si="3"/>
        <v>4976</v>
      </c>
      <c r="H29" s="16">
        <f t="shared" si="3"/>
        <v>5971</v>
      </c>
      <c r="I29" s="16">
        <f t="shared" si="3"/>
        <v>7165</v>
      </c>
      <c r="J29" s="16">
        <f t="shared" si="3"/>
        <v>8598</v>
      </c>
      <c r="K29" s="16">
        <f t="shared" si="3"/>
        <v>10318</v>
      </c>
      <c r="L29" s="16">
        <f t="shared" si="3"/>
        <v>12382</v>
      </c>
      <c r="M29" s="16">
        <f t="shared" si="3"/>
        <v>14858</v>
      </c>
    </row>
    <row r="30" spans="1:13" x14ac:dyDescent="0.2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 x14ac:dyDescent="0.2">
      <c r="A31" s="3" t="s">
        <v>36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x14ac:dyDescent="0.2">
      <c r="A32" s="4" t="s">
        <v>37</v>
      </c>
      <c r="B32" s="17">
        <f>B29*$B$5</f>
        <v>20000</v>
      </c>
      <c r="C32" s="17">
        <f>C29*$B$5</f>
        <v>24000</v>
      </c>
      <c r="D32" s="17">
        <f>D29*$B$5</f>
        <v>28800</v>
      </c>
      <c r="E32" s="17">
        <f>E29*$B$5</f>
        <v>34560</v>
      </c>
      <c r="F32" s="17">
        <f>F29*$B$5</f>
        <v>41470</v>
      </c>
      <c r="G32" s="17">
        <f>G29*$B$5</f>
        <v>49760</v>
      </c>
      <c r="H32" s="17">
        <f>H29*$B$5</f>
        <v>59710</v>
      </c>
      <c r="I32" s="17">
        <f>I29*$B$5</f>
        <v>71650</v>
      </c>
      <c r="J32" s="17">
        <f>J29*$B$5</f>
        <v>85980</v>
      </c>
      <c r="K32" s="17">
        <f>K29*$B$5</f>
        <v>103180</v>
      </c>
      <c r="L32" s="17">
        <f>L29*$B$5</f>
        <v>123820</v>
      </c>
      <c r="M32" s="17">
        <f>M29*$B$5</f>
        <v>148580</v>
      </c>
    </row>
    <row r="33" spans="1:13" x14ac:dyDescent="0.2">
      <c r="A33" s="4" t="s">
        <v>38</v>
      </c>
      <c r="B33" s="17">
        <f>B29*$B$8*$B$7*$B$6</f>
        <v>3000</v>
      </c>
      <c r="C33" s="17">
        <f>C29*$B$8*$B$7*$B$6</f>
        <v>3600</v>
      </c>
      <c r="D33" s="17">
        <f>D29*$B$8*$B$7*$B$6</f>
        <v>4320</v>
      </c>
      <c r="E33" s="17">
        <f>E29*$B$8*$B$7*$B$6</f>
        <v>5184</v>
      </c>
      <c r="F33" s="17">
        <f>F29*$B$8*$B$7*$B$6</f>
        <v>6220.5</v>
      </c>
      <c r="G33" s="17">
        <f>G29*$B$8*$B$7*$B$6</f>
        <v>7464</v>
      </c>
      <c r="H33" s="17">
        <f>H29*$B$8*$B$7*$B$6</f>
        <v>8956.5</v>
      </c>
      <c r="I33" s="17">
        <f>I29*$B$8*$B$7*$B$6</f>
        <v>10747.5</v>
      </c>
      <c r="J33" s="17">
        <f>J29*$B$8*$B$7*$B$6</f>
        <v>12897</v>
      </c>
      <c r="K33" s="17">
        <f>K29*$B$8*$B$7*$B$6</f>
        <v>15477</v>
      </c>
      <c r="L33" s="17">
        <f>L29*$B$8*$B$7*$B$6</f>
        <v>18573</v>
      </c>
      <c r="M33" s="17">
        <f>M29*$B$8*$B$7*$B$6</f>
        <v>22287</v>
      </c>
    </row>
    <row r="34" spans="1:13" x14ac:dyDescent="0.2">
      <c r="A34" s="4" t="s">
        <v>39</v>
      </c>
      <c r="B34" s="17">
        <f>$B$10*$B$9</f>
        <v>4000</v>
      </c>
      <c r="C34" s="17">
        <f>($B$10+$B$11*1)*$B$9</f>
        <v>6000</v>
      </c>
      <c r="D34" s="17">
        <f>($B$10+$B$11*2)*$B$9</f>
        <v>8000</v>
      </c>
      <c r="E34" s="17">
        <f>($B$10+$B$11*3)*$B$9</f>
        <v>10000</v>
      </c>
      <c r="F34" s="17">
        <f>($B$10+$B$11*4)*$B$9</f>
        <v>12000</v>
      </c>
      <c r="G34" s="17">
        <f>($B$10+$B$11*5)*$B$9</f>
        <v>14000</v>
      </c>
      <c r="H34" s="17">
        <f>($B$10+$B$11*6)*$B$9</f>
        <v>16000</v>
      </c>
      <c r="I34" s="17">
        <f>($B$10+$B$11*7)*$B$9</f>
        <v>18000</v>
      </c>
      <c r="J34" s="17">
        <f>($B$10+$B$11*8)*$B$9</f>
        <v>20000</v>
      </c>
      <c r="K34" s="17">
        <f>($B$10+$B$11*9)*$B$9</f>
        <v>22000</v>
      </c>
      <c r="L34" s="17">
        <f>($B$10+$B$11*10)*$B$9</f>
        <v>24000</v>
      </c>
      <c r="M34" s="17">
        <f>($B$10+$B$11*11)*$B$9</f>
        <v>26000</v>
      </c>
    </row>
    <row r="35" spans="1:13" ht="17" thickBot="1" x14ac:dyDescent="0.25">
      <c r="A35" s="10" t="s">
        <v>40</v>
      </c>
      <c r="B35" s="18">
        <f>SUM(B32:B34)</f>
        <v>27000</v>
      </c>
      <c r="C35" s="18">
        <f>SUM(C32:C34)</f>
        <v>33600</v>
      </c>
      <c r="D35" s="18">
        <f>SUM(D32:D34)</f>
        <v>41120</v>
      </c>
      <c r="E35" s="18">
        <f>SUM(E32:E34)</f>
        <v>49744</v>
      </c>
      <c r="F35" s="18">
        <f>SUM(F32:F34)</f>
        <v>59690.5</v>
      </c>
      <c r="G35" s="18">
        <f>SUM(G32:G34)</f>
        <v>71224</v>
      </c>
      <c r="H35" s="18">
        <f>SUM(H32:H34)</f>
        <v>84666.5</v>
      </c>
      <c r="I35" s="18">
        <f>SUM(I32:I34)</f>
        <v>100397.5</v>
      </c>
      <c r="J35" s="18">
        <f>SUM(J32:J34)</f>
        <v>118877</v>
      </c>
      <c r="K35" s="18">
        <f>SUM(K32:K34)</f>
        <v>140657</v>
      </c>
      <c r="L35" s="18">
        <f>SUM(L32:L34)</f>
        <v>166393</v>
      </c>
      <c r="M35" s="18">
        <f>SUM(M32:M34)</f>
        <v>196867</v>
      </c>
    </row>
    <row r="36" spans="1:13" ht="17" thickTop="1" x14ac:dyDescent="0.2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3" x14ac:dyDescent="0.2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x14ac:dyDescent="0.2">
      <c r="A38" s="3" t="s">
        <v>13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 x14ac:dyDescent="0.2">
      <c r="A39" s="4" t="s">
        <v>41</v>
      </c>
      <c r="B39" s="17">
        <f>$B$19</f>
        <v>15000</v>
      </c>
      <c r="C39" s="29">
        <f>$B$19</f>
        <v>15000</v>
      </c>
      <c r="D39" s="17">
        <f>$B$19</f>
        <v>15000</v>
      </c>
      <c r="E39" s="17">
        <f>$B$19</f>
        <v>15000</v>
      </c>
      <c r="F39" s="17">
        <f>$B$19</f>
        <v>15000</v>
      </c>
      <c r="G39" s="17">
        <f>$B$19</f>
        <v>15000</v>
      </c>
      <c r="H39" s="17">
        <f>$B$19</f>
        <v>15000</v>
      </c>
      <c r="I39" s="17">
        <f>$B$19</f>
        <v>15000</v>
      </c>
      <c r="J39" s="17">
        <f>$B$19</f>
        <v>15000</v>
      </c>
      <c r="K39" s="17">
        <f>$B$19</f>
        <v>15000</v>
      </c>
      <c r="L39" s="17">
        <f>$B$19</f>
        <v>15000</v>
      </c>
      <c r="M39" s="17">
        <f>$B$19</f>
        <v>15000</v>
      </c>
    </row>
    <row r="40" spans="1:13" x14ac:dyDescent="0.2">
      <c r="A40" s="4" t="s">
        <v>42</v>
      </c>
      <c r="B40" s="17">
        <f>$B$20</f>
        <v>750</v>
      </c>
      <c r="C40" s="29">
        <f>$B$20</f>
        <v>750</v>
      </c>
      <c r="D40" s="17">
        <f>$B$20</f>
        <v>750</v>
      </c>
      <c r="E40" s="17">
        <f>$B$20</f>
        <v>750</v>
      </c>
      <c r="F40" s="17">
        <f>$B$20</f>
        <v>750</v>
      </c>
      <c r="G40" s="17">
        <f>$B$20</f>
        <v>750</v>
      </c>
      <c r="H40" s="17">
        <f>$B$20</f>
        <v>750</v>
      </c>
      <c r="I40" s="17">
        <f>$B$20</f>
        <v>750</v>
      </c>
      <c r="J40" s="17">
        <f>$B$20</f>
        <v>750</v>
      </c>
      <c r="K40" s="17">
        <f>$B$20</f>
        <v>750</v>
      </c>
      <c r="L40" s="17">
        <f>$B$20</f>
        <v>750</v>
      </c>
      <c r="M40" s="17">
        <f>$B$20</f>
        <v>750</v>
      </c>
    </row>
    <row r="41" spans="1:13" x14ac:dyDescent="0.2">
      <c r="A41" s="4" t="s">
        <v>43</v>
      </c>
      <c r="B41" s="17">
        <f>$B$21</f>
        <v>5000</v>
      </c>
      <c r="C41" s="29">
        <f>$B$21</f>
        <v>5000</v>
      </c>
      <c r="D41" s="17">
        <f>$B$21</f>
        <v>5000</v>
      </c>
      <c r="E41" s="17">
        <f>$B$21</f>
        <v>5000</v>
      </c>
      <c r="F41" s="17">
        <f>$B$21</f>
        <v>5000</v>
      </c>
      <c r="G41" s="17">
        <f>$B$21</f>
        <v>5000</v>
      </c>
      <c r="H41" s="17">
        <f>$B$21</f>
        <v>5000</v>
      </c>
      <c r="I41" s="17">
        <f>$B$21</f>
        <v>5000</v>
      </c>
      <c r="J41" s="17">
        <f>$B$21</f>
        <v>5000</v>
      </c>
      <c r="K41" s="17">
        <f>$B$21</f>
        <v>5000</v>
      </c>
      <c r="L41" s="17">
        <f>$B$21</f>
        <v>5000</v>
      </c>
      <c r="M41" s="17">
        <f>$B$21</f>
        <v>5000</v>
      </c>
    </row>
    <row r="42" spans="1:13" x14ac:dyDescent="0.2">
      <c r="A42" s="4" t="s">
        <v>44</v>
      </c>
      <c r="B42" s="17">
        <f>$B$22</f>
        <v>500</v>
      </c>
      <c r="C42" s="29">
        <f>$B$22</f>
        <v>500</v>
      </c>
      <c r="D42" s="17">
        <f>$B$22</f>
        <v>500</v>
      </c>
      <c r="E42" s="17">
        <f>$B$22</f>
        <v>500</v>
      </c>
      <c r="F42" s="17">
        <f>$B$22</f>
        <v>500</v>
      </c>
      <c r="G42" s="17">
        <f>$B$22</f>
        <v>500</v>
      </c>
      <c r="H42" s="17">
        <f>$B$22</f>
        <v>500</v>
      </c>
      <c r="I42" s="17">
        <f>$B$22</f>
        <v>500</v>
      </c>
      <c r="J42" s="17">
        <f>$B$22</f>
        <v>500</v>
      </c>
      <c r="K42" s="17">
        <f>$B$22</f>
        <v>500</v>
      </c>
      <c r="L42" s="17">
        <f>$B$22</f>
        <v>500</v>
      </c>
      <c r="M42" s="17">
        <f>$B$22</f>
        <v>500</v>
      </c>
    </row>
    <row r="43" spans="1:13" ht="17" thickBot="1" x14ac:dyDescent="0.25">
      <c r="A43" s="10" t="s">
        <v>45</v>
      </c>
      <c r="B43" s="18">
        <f>SUM(B39:B42)</f>
        <v>21250</v>
      </c>
      <c r="C43" s="30">
        <f>SUM(C39:C42)</f>
        <v>21250</v>
      </c>
      <c r="D43" s="18">
        <f>SUM(D39:D42)</f>
        <v>21250</v>
      </c>
      <c r="E43" s="18">
        <f>SUM(E39:E42)</f>
        <v>21250</v>
      </c>
      <c r="F43" s="18">
        <f>SUM(F39:F42)</f>
        <v>21250</v>
      </c>
      <c r="G43" s="18">
        <f>SUM(G39:G42)</f>
        <v>21250</v>
      </c>
      <c r="H43" s="18">
        <f>SUM(H39:H42)</f>
        <v>21250</v>
      </c>
      <c r="I43" s="18">
        <f>SUM(I39:I42)</f>
        <v>21250</v>
      </c>
      <c r="J43" s="18">
        <f>SUM(J39:J42)</f>
        <v>21250</v>
      </c>
      <c r="K43" s="18">
        <f>SUM(K39:K42)</f>
        <v>21250</v>
      </c>
      <c r="L43" s="18">
        <f>SUM(L39:L42)</f>
        <v>21250</v>
      </c>
      <c r="M43" s="18">
        <f>SUM(M39:M42)</f>
        <v>21250</v>
      </c>
    </row>
    <row r="44" spans="1:13" ht="17" thickTop="1" x14ac:dyDescent="0.2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 x14ac:dyDescent="0.2">
      <c r="A45" s="2" t="s">
        <v>46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1:13" x14ac:dyDescent="0.2">
      <c r="A46" s="4" t="s">
        <v>40</v>
      </c>
      <c r="B46" s="17">
        <f>B35</f>
        <v>27000</v>
      </c>
      <c r="C46" s="13">
        <f>C35</f>
        <v>33600</v>
      </c>
      <c r="D46" s="17">
        <f>D35</f>
        <v>41120</v>
      </c>
      <c r="E46" s="17">
        <f>E35</f>
        <v>49744</v>
      </c>
      <c r="F46" s="17">
        <f>F35</f>
        <v>59690.5</v>
      </c>
      <c r="G46" s="17">
        <f>G35</f>
        <v>71224</v>
      </c>
      <c r="H46" s="17">
        <f>H35</f>
        <v>84666.5</v>
      </c>
      <c r="I46" s="17">
        <f>I35</f>
        <v>100397.5</v>
      </c>
      <c r="J46" s="17">
        <f>J35</f>
        <v>118877</v>
      </c>
      <c r="K46" s="17">
        <f>K35</f>
        <v>140657</v>
      </c>
      <c r="L46" s="17">
        <f>L35</f>
        <v>166393</v>
      </c>
      <c r="M46" s="17">
        <f>M35</f>
        <v>196867</v>
      </c>
    </row>
    <row r="47" spans="1:13" x14ac:dyDescent="0.2">
      <c r="A47" s="4" t="s">
        <v>45</v>
      </c>
      <c r="B47" s="17">
        <f>B43</f>
        <v>21250</v>
      </c>
      <c r="C47" s="13">
        <f>C43</f>
        <v>21250</v>
      </c>
      <c r="D47" s="17">
        <f>D43</f>
        <v>21250</v>
      </c>
      <c r="E47" s="17">
        <f>E43</f>
        <v>21250</v>
      </c>
      <c r="F47" s="17">
        <f>F43</f>
        <v>21250</v>
      </c>
      <c r="G47" s="17">
        <f>G43</f>
        <v>21250</v>
      </c>
      <c r="H47" s="17">
        <f>H43</f>
        <v>21250</v>
      </c>
      <c r="I47" s="17">
        <f>I43</f>
        <v>21250</v>
      </c>
      <c r="J47" s="17">
        <f>J43</f>
        <v>21250</v>
      </c>
      <c r="K47" s="17">
        <f>K43</f>
        <v>21250</v>
      </c>
      <c r="L47" s="17">
        <f>L43</f>
        <v>21250</v>
      </c>
      <c r="M47" s="17">
        <f>M43</f>
        <v>21250</v>
      </c>
    </row>
    <row r="48" spans="1:13" ht="17" thickBot="1" x14ac:dyDescent="0.25">
      <c r="A48" s="10" t="s">
        <v>47</v>
      </c>
      <c r="B48" s="21">
        <f>B46-B47</f>
        <v>5750</v>
      </c>
      <c r="C48" s="19">
        <f>C46-C47</f>
        <v>12350</v>
      </c>
      <c r="D48" s="21">
        <f>D46-D47</f>
        <v>19870</v>
      </c>
      <c r="E48" s="21">
        <f>E46-E47</f>
        <v>28494</v>
      </c>
      <c r="F48" s="21">
        <f>F46-F47</f>
        <v>38440.5</v>
      </c>
      <c r="G48" s="21">
        <f>G46-G47</f>
        <v>49974</v>
      </c>
      <c r="H48" s="21">
        <f>H46-H47</f>
        <v>63416.5</v>
      </c>
      <c r="I48" s="21">
        <f>I46-I47</f>
        <v>79147.5</v>
      </c>
      <c r="J48" s="21">
        <f>J46-J47</f>
        <v>97627</v>
      </c>
      <c r="K48" s="21">
        <f>K46-K47</f>
        <v>119407</v>
      </c>
      <c r="L48" s="21">
        <f>L46-L47</f>
        <v>145143</v>
      </c>
      <c r="M48" s="21">
        <f>M46-M47</f>
        <v>175617</v>
      </c>
    </row>
    <row r="49" spans="1:14" ht="17" thickTop="1" x14ac:dyDescent="0.2">
      <c r="A49" s="4" t="s">
        <v>48</v>
      </c>
      <c r="B49" s="22">
        <f>IF(B46=0,0,B48/B46)</f>
        <v>0.21296296296296297</v>
      </c>
      <c r="C49" s="13">
        <f>IF(C46=0,0,C48/C46)</f>
        <v>0.36755952380952384</v>
      </c>
      <c r="D49" s="22">
        <f>IF(D46=0,0,D48/D46)</f>
        <v>0.48321984435797666</v>
      </c>
      <c r="E49" s="22">
        <f>IF(E46=0,0,E48/E46)</f>
        <v>0.57281280154390479</v>
      </c>
      <c r="F49" s="22">
        <f>IF(F46=0,0,F48/F46)</f>
        <v>0.64399695093859155</v>
      </c>
      <c r="G49" s="22">
        <f>IF(G46=0,0,G48/G46)</f>
        <v>0.70164551274851172</v>
      </c>
      <c r="H49" s="22">
        <f>IF(H46=0,0,H48/H46)</f>
        <v>0.74901525396703539</v>
      </c>
      <c r="I49" s="22">
        <f>IF(I46=0,0,I48/I46)</f>
        <v>0.78834134316093529</v>
      </c>
      <c r="J49" s="22">
        <f>IF(J46=0,0,J48/J46)</f>
        <v>0.82124380662365304</v>
      </c>
      <c r="K49" s="22">
        <f>IF(K46=0,0,K48/K46)</f>
        <v>0.84892326723874389</v>
      </c>
      <c r="L49" s="22">
        <f>IF(L46=0,0,L48/L46)</f>
        <v>0.87229030067370628</v>
      </c>
      <c r="M49" s="22">
        <f>IF(M46=0,0,M48/M46)</f>
        <v>0.89205910589382675</v>
      </c>
    </row>
    <row r="50" spans="1:14" x14ac:dyDescent="0.2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4" ht="17" thickBot="1" x14ac:dyDescent="0.25">
      <c r="A51" s="10" t="s">
        <v>49</v>
      </c>
      <c r="B51" s="21">
        <f>B48</f>
        <v>5750</v>
      </c>
      <c r="C51" s="23">
        <f>B51+C48</f>
        <v>18100</v>
      </c>
      <c r="D51" s="21">
        <f>C51+D48</f>
        <v>37970</v>
      </c>
      <c r="E51" s="21">
        <f>D51+E48</f>
        <v>66464</v>
      </c>
      <c r="F51" s="21">
        <f>E51+F48</f>
        <v>104904.5</v>
      </c>
      <c r="G51" s="21">
        <f>F51+G48</f>
        <v>154878.5</v>
      </c>
      <c r="H51" s="21">
        <f>G51+H48</f>
        <v>218295</v>
      </c>
      <c r="I51" s="21">
        <f>H51+I48</f>
        <v>297442.5</v>
      </c>
      <c r="J51" s="21">
        <f>I51+J48</f>
        <v>395069.5</v>
      </c>
      <c r="K51" s="21">
        <f>J51+K48</f>
        <v>514476.5</v>
      </c>
      <c r="L51" s="21">
        <f>K51+L48</f>
        <v>659619.5</v>
      </c>
      <c r="M51" s="21">
        <f>L51+M48</f>
        <v>835236.5</v>
      </c>
    </row>
    <row r="52" spans="1:14" ht="17" thickTop="1" x14ac:dyDescent="0.2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4" x14ac:dyDescent="0.2">
      <c r="A53" s="2" t="s">
        <v>50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4" x14ac:dyDescent="0.2">
      <c r="A54" s="4" t="s">
        <v>51</v>
      </c>
      <c r="B54" s="14">
        <f>B29</f>
        <v>2000</v>
      </c>
      <c r="C54" s="13">
        <f>C29</f>
        <v>2400</v>
      </c>
      <c r="D54" s="14">
        <f>D29</f>
        <v>2880</v>
      </c>
      <c r="E54" s="14">
        <f>E29</f>
        <v>3456</v>
      </c>
      <c r="F54" s="14">
        <f>F29</f>
        <v>4147</v>
      </c>
      <c r="G54" s="14">
        <f>G29</f>
        <v>4976</v>
      </c>
      <c r="H54" s="14">
        <f>H29</f>
        <v>5971</v>
      </c>
      <c r="I54" s="14">
        <f>I29</f>
        <v>7165</v>
      </c>
      <c r="J54" s="14">
        <f>J29</f>
        <v>8598</v>
      </c>
      <c r="K54" s="14">
        <f>K29</f>
        <v>10318</v>
      </c>
      <c r="L54" s="14">
        <f>L29</f>
        <v>12382</v>
      </c>
      <c r="M54" s="14">
        <f>M29</f>
        <v>14858</v>
      </c>
    </row>
    <row r="55" spans="1:14" x14ac:dyDescent="0.2">
      <c r="A55" s="4" t="s">
        <v>52</v>
      </c>
      <c r="B55" s="17">
        <f>B32</f>
        <v>20000</v>
      </c>
      <c r="C55" s="29">
        <f>C32</f>
        <v>24000</v>
      </c>
      <c r="D55" s="17">
        <f>D32</f>
        <v>28800</v>
      </c>
      <c r="E55" s="17">
        <f>E32</f>
        <v>34560</v>
      </c>
      <c r="F55" s="17">
        <f>F32</f>
        <v>41470</v>
      </c>
      <c r="G55" s="17">
        <f>G32</f>
        <v>49760</v>
      </c>
      <c r="H55" s="17">
        <f>H32</f>
        <v>59710</v>
      </c>
      <c r="I55" s="17">
        <f>I32</f>
        <v>71650</v>
      </c>
      <c r="J55" s="17">
        <f>J32</f>
        <v>85980</v>
      </c>
      <c r="K55" s="17">
        <f>K32</f>
        <v>103180</v>
      </c>
      <c r="L55" s="17">
        <f>L32</f>
        <v>123820</v>
      </c>
      <c r="M55" s="17">
        <f>M32</f>
        <v>148580</v>
      </c>
    </row>
    <row r="56" spans="1:14" x14ac:dyDescent="0.2">
      <c r="A56" s="4" t="s">
        <v>53</v>
      </c>
      <c r="B56" s="24">
        <f>IF(B29=0,0,B35/B29)</f>
        <v>13.5</v>
      </c>
      <c r="C56" s="13">
        <f>IF(C29=0,0,C35/C29)</f>
        <v>14</v>
      </c>
      <c r="D56" s="24">
        <f>IF(D29=0,0,D35/D29)</f>
        <v>14.277777777777779</v>
      </c>
      <c r="E56" s="24">
        <f>IF(E29=0,0,E35/E29)</f>
        <v>14.393518518518519</v>
      </c>
      <c r="F56" s="24">
        <f>IF(F29=0,0,F35/F29)</f>
        <v>14.393658066071859</v>
      </c>
      <c r="G56" s="24">
        <f>IF(G29=0,0,G35/G29)</f>
        <v>14.313504823151126</v>
      </c>
      <c r="H56" s="24">
        <f>IF(H29=0,0,H35/H29)</f>
        <v>14.179618154412996</v>
      </c>
      <c r="I56" s="24">
        <f>IF(I29=0,0,I35/I29)</f>
        <v>14.012212142358688</v>
      </c>
      <c r="J56" s="24">
        <f>IF(J29=0,0,J35/J29)</f>
        <v>13.826122354035823</v>
      </c>
      <c r="K56" s="24">
        <f>IF(K29=0,0,K35/K29)</f>
        <v>13.632196162046908</v>
      </c>
      <c r="L56" s="24">
        <f>IF(L29=0,0,L35/L29)</f>
        <v>13.438297528670651</v>
      </c>
      <c r="M56" s="24">
        <f>IF(M29=0,0,M35/M29)</f>
        <v>13.249899044285906</v>
      </c>
    </row>
    <row r="57" spans="1:14" x14ac:dyDescent="0.2">
      <c r="A57" s="4" t="s">
        <v>54</v>
      </c>
      <c r="B57" s="24">
        <f>IF(B27=0,0,B41/B27)</f>
        <v>2.5</v>
      </c>
      <c r="C57" s="13">
        <f>IF(C27=0,0,C41/C27)</f>
        <v>8.3333333333333339</v>
      </c>
      <c r="D57" s="24">
        <f>IF(D27=0,0,D41/D27)</f>
        <v>6.9444444444444446</v>
      </c>
      <c r="E57" s="24">
        <f>IF(E27=0,0,E41/E27)</f>
        <v>5.7870370370370372</v>
      </c>
      <c r="F57" s="24">
        <f>IF(F27=0,0,F41/F27)</f>
        <v>4.8216007714561231</v>
      </c>
      <c r="G57" s="24">
        <f>IF(G27=0,0,G41/G27)</f>
        <v>4.019292604501608</v>
      </c>
      <c r="H57" s="24">
        <f>IF(H27=0,0,H41/H27)</f>
        <v>3.3489618218352311</v>
      </c>
      <c r="I57" s="24">
        <f>IF(I27=0,0,I41/I27)</f>
        <v>2.7917364600781687</v>
      </c>
      <c r="J57" s="24">
        <f>IF(J27=0,0,J41/J27)</f>
        <v>2.3255813953488373</v>
      </c>
      <c r="K57" s="24">
        <f>IF(K27=0,0,K41/K27)</f>
        <v>1.9379844961240309</v>
      </c>
      <c r="L57" s="24">
        <f>IF(L27=0,0,L41/L27)</f>
        <v>1.6149870801033592</v>
      </c>
      <c r="M57" s="24">
        <f>IF(M27=0,0,M41/M27)</f>
        <v>1.3462574044157243</v>
      </c>
    </row>
    <row r="58" spans="1:14" x14ac:dyDescent="0.2">
      <c r="A58" s="4" t="s">
        <v>55</v>
      </c>
      <c r="B58" s="25" t="str">
        <f>IF(B48&gt;0,"YES","NO")</f>
        <v>YES</v>
      </c>
      <c r="C58" s="13" t="str">
        <f>IF(C48&gt;0,"YES","NO")</f>
        <v>YES</v>
      </c>
      <c r="D58" s="25" t="str">
        <f>IF(D48&gt;0,"YES","NO")</f>
        <v>YES</v>
      </c>
      <c r="E58" s="25" t="str">
        <f>IF(E48&gt;0,"YES","NO")</f>
        <v>YES</v>
      </c>
      <c r="F58" s="25" t="str">
        <f>IF(F48&gt;0,"YES","NO")</f>
        <v>YES</v>
      </c>
      <c r="G58" s="25" t="str">
        <f>IF(G48&gt;0,"YES","NO")</f>
        <v>YES</v>
      </c>
      <c r="H58" s="25" t="str">
        <f>IF(H48&gt;0,"YES","NO")</f>
        <v>YES</v>
      </c>
      <c r="I58" s="25" t="str">
        <f>IF(I48&gt;0,"YES","NO")</f>
        <v>YES</v>
      </c>
      <c r="J58" s="25" t="str">
        <f>IF(J48&gt;0,"YES","NO")</f>
        <v>YES</v>
      </c>
      <c r="K58" s="25" t="str">
        <f>IF(K48&gt;0,"YES","NO")</f>
        <v>YES</v>
      </c>
      <c r="L58" s="25" t="str">
        <f>IF(L48&gt;0,"YES","NO")</f>
        <v>YES</v>
      </c>
      <c r="M58" s="25" t="str">
        <f>IF(M48&gt;0,"YES","NO")</f>
        <v>YES</v>
      </c>
    </row>
    <row r="60" spans="1:14" hidden="1" x14ac:dyDescent="0.2">
      <c r="A60" s="4"/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</row>
    <row r="61" spans="1:14" hidden="1" x14ac:dyDescent="0.2">
      <c r="A61" s="4" t="s">
        <v>36</v>
      </c>
      <c r="C61">
        <f>B35</f>
        <v>27000</v>
      </c>
      <c r="D61">
        <f>C35</f>
        <v>33600</v>
      </c>
      <c r="E61">
        <f>D35</f>
        <v>41120</v>
      </c>
      <c r="F61">
        <f>E35</f>
        <v>49744</v>
      </c>
      <c r="G61">
        <f>F35</f>
        <v>59690.5</v>
      </c>
      <c r="H61">
        <f>G35</f>
        <v>71224</v>
      </c>
      <c r="I61">
        <f>H35</f>
        <v>84666.5</v>
      </c>
      <c r="J61">
        <f>I35</f>
        <v>100397.5</v>
      </c>
      <c r="K61">
        <f>J35</f>
        <v>118877</v>
      </c>
      <c r="L61">
        <f>K35</f>
        <v>140657</v>
      </c>
      <c r="M61">
        <f>L35</f>
        <v>166393</v>
      </c>
      <c r="N61">
        <f>M35</f>
        <v>196867</v>
      </c>
    </row>
    <row r="62" spans="1:14" hidden="1" x14ac:dyDescent="0.2">
      <c r="A62" s="4" t="s">
        <v>13</v>
      </c>
      <c r="C62">
        <f>B43</f>
        <v>21250</v>
      </c>
      <c r="D62">
        <f>C43</f>
        <v>21250</v>
      </c>
      <c r="E62">
        <f>D43</f>
        <v>21250</v>
      </c>
      <c r="F62">
        <f>E43</f>
        <v>21250</v>
      </c>
      <c r="G62">
        <f>F43</f>
        <v>21250</v>
      </c>
      <c r="H62">
        <f>G43</f>
        <v>21250</v>
      </c>
      <c r="I62">
        <f>H43</f>
        <v>21250</v>
      </c>
      <c r="J62">
        <f>I43</f>
        <v>21250</v>
      </c>
      <c r="K62">
        <f>J43</f>
        <v>21250</v>
      </c>
      <c r="L62">
        <f>K43</f>
        <v>21250</v>
      </c>
      <c r="M62">
        <f>L43</f>
        <v>21250</v>
      </c>
      <c r="N62">
        <f>M43</f>
        <v>21250</v>
      </c>
    </row>
    <row r="64" spans="1:14" x14ac:dyDescent="0.2">
      <c r="A64" t="s">
        <v>56</v>
      </c>
      <c r="B64" t="s">
        <v>36</v>
      </c>
      <c r="C64" t="s">
        <v>13</v>
      </c>
    </row>
    <row r="65" spans="1:3" x14ac:dyDescent="0.2">
      <c r="A65" t="str">
        <f>C60</f>
        <v>M1</v>
      </c>
      <c r="B65">
        <f>B35</f>
        <v>27000</v>
      </c>
      <c r="C65">
        <f>B43</f>
        <v>21250</v>
      </c>
    </row>
    <row r="66" spans="1:3" x14ac:dyDescent="0.2">
      <c r="A66" t="str">
        <f>D60</f>
        <v>M2</v>
      </c>
      <c r="B66">
        <f>C35</f>
        <v>33600</v>
      </c>
      <c r="C66">
        <f>C43</f>
        <v>21250</v>
      </c>
    </row>
    <row r="67" spans="1:3" x14ac:dyDescent="0.2">
      <c r="A67" t="str">
        <f>E60</f>
        <v>M3</v>
      </c>
      <c r="B67">
        <f>D35</f>
        <v>41120</v>
      </c>
      <c r="C67">
        <f>D43</f>
        <v>21250</v>
      </c>
    </row>
    <row r="68" spans="1:3" x14ac:dyDescent="0.2">
      <c r="A68" t="str">
        <f>F60</f>
        <v>M4</v>
      </c>
      <c r="B68">
        <f>E35</f>
        <v>49744</v>
      </c>
      <c r="C68">
        <f>E43</f>
        <v>21250</v>
      </c>
    </row>
    <row r="69" spans="1:3" x14ac:dyDescent="0.2">
      <c r="A69" t="str">
        <f>G60</f>
        <v>M5</v>
      </c>
      <c r="B69">
        <f>F35</f>
        <v>59690.5</v>
      </c>
      <c r="C69">
        <f>F43</f>
        <v>21250</v>
      </c>
    </row>
    <row r="70" spans="1:3" x14ac:dyDescent="0.2">
      <c r="A70" t="str">
        <f>H60</f>
        <v>M6</v>
      </c>
      <c r="B70">
        <f>G35</f>
        <v>71224</v>
      </c>
      <c r="C70">
        <f>G43</f>
        <v>21250</v>
      </c>
    </row>
    <row r="71" spans="1:3" x14ac:dyDescent="0.2">
      <c r="A71" t="str">
        <f>I60</f>
        <v>M7</v>
      </c>
      <c r="B71">
        <f>H35</f>
        <v>84666.5</v>
      </c>
      <c r="C71">
        <f>H43</f>
        <v>21250</v>
      </c>
    </row>
    <row r="72" spans="1:3" x14ac:dyDescent="0.2">
      <c r="A72" t="str">
        <f>J60</f>
        <v>M8</v>
      </c>
      <c r="B72">
        <f>I35</f>
        <v>100397.5</v>
      </c>
      <c r="C72">
        <f>I43</f>
        <v>21250</v>
      </c>
    </row>
    <row r="73" spans="1:3" x14ac:dyDescent="0.2">
      <c r="A73" t="str">
        <f>K60</f>
        <v>M9</v>
      </c>
      <c r="B73">
        <f>J35</f>
        <v>118877</v>
      </c>
      <c r="C73">
        <f>J43</f>
        <v>21250</v>
      </c>
    </row>
    <row r="74" spans="1:3" x14ac:dyDescent="0.2">
      <c r="A74" t="str">
        <f>L60</f>
        <v>M10</v>
      </c>
      <c r="B74">
        <f>K35</f>
        <v>140657</v>
      </c>
      <c r="C74">
        <f>K43</f>
        <v>21250</v>
      </c>
    </row>
    <row r="75" spans="1:3" x14ac:dyDescent="0.2">
      <c r="A75" t="str">
        <f>M60</f>
        <v>M11</v>
      </c>
      <c r="B75">
        <f>L35</f>
        <v>166393</v>
      </c>
      <c r="C75">
        <f>L43</f>
        <v>21250</v>
      </c>
    </row>
    <row r="76" spans="1:3" x14ac:dyDescent="0.2">
      <c r="A76" t="str">
        <f>N60</f>
        <v>M12</v>
      </c>
      <c r="B76">
        <f>M35</f>
        <v>196867</v>
      </c>
      <c r="C76">
        <f>M43</f>
        <v>21250</v>
      </c>
    </row>
  </sheetData>
  <mergeCells count="4">
    <mergeCell ref="D9:Q9"/>
    <mergeCell ref="D12:Q12"/>
    <mergeCell ref="D15:Q15"/>
    <mergeCell ref="D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Rupprechter</dc:creator>
  <cp:lastModifiedBy>Nick Rupprechter</cp:lastModifiedBy>
  <dcterms:created xsi:type="dcterms:W3CDTF">2026-02-24T19:22:33Z</dcterms:created>
  <dcterms:modified xsi:type="dcterms:W3CDTF">2026-02-25T08:54:01Z</dcterms:modified>
</cp:coreProperties>
</file>