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3aeac7c5794a10" /></Relationships>
</file>

<file path=xl/workbook.xml><?xml version="1.0" encoding="utf-8"?>
<x:workbook xmlns:x="http://schemas.openxmlformats.org/spreadsheetml/2006/main">
  <x:sheets>
    <x:sheet xmlns:r="http://schemas.openxmlformats.org/officeDocument/2006/relationships" name="README" sheetId="1" r:id="Ra655db8828b54891"/>
    <x:sheet xmlns:r="http://schemas.openxmlformats.org/officeDocument/2006/relationships" name="Pilot Formulas" sheetId="2" r:id="R68f13e176edb441a"/>
    <x:sheet xmlns:r="http://schemas.openxmlformats.org/officeDocument/2006/relationships" name="Reviewer A Key" sheetId="3" r:id="Ra4604207c79748c1"/>
    <x:sheet xmlns:r="http://schemas.openxmlformats.org/officeDocument/2006/relationships" name="Reviewer C Blind" sheetId="4" r:id="R7cf469bd9d054bd3"/>
    <x:sheet xmlns:r="http://schemas.openxmlformats.org/officeDocument/2006/relationships" name="Comparison" sheetId="5" r:id="R9b779fca6ec84f1e"/>
    <x:sheet xmlns:r="http://schemas.openxmlformats.org/officeDocument/2006/relationships" name="Agreement" sheetId="6" r:id="R597840cd51cf4393"/>
    <x:sheet xmlns:r="http://schemas.openxmlformats.org/officeDocument/2006/relationships" name="Stress Tests" sheetId="7" r:id="Reeff4307b287428d"/>
    <x:sheet xmlns:r="http://schemas.openxmlformats.org/officeDocument/2006/relationships" name="Pilot Profile Review" sheetId="8" r:id="R34d27c8ce6514a68"/>
    <x:sheet xmlns:r="http://schemas.openxmlformats.org/officeDocument/2006/relationships" name="Profile Reviewer E" sheetId="9" r:id="R99fbf0e8fccf4b74"/>
    <x:sheet xmlns:r="http://schemas.openxmlformats.org/officeDocument/2006/relationships" name="Profile Comparison" sheetId="10" r:id="R77721f48f8fb4f04"/>
    <x:sheet xmlns:r="http://schemas.openxmlformats.org/officeDocument/2006/relationships" name="Profile Agreement" sheetId="11" r:id="R3e3e979f50cb40b1"/>
    <x:sheet xmlns:r="http://schemas.openxmlformats.org/officeDocument/2006/relationships" name="Uncertainty Review" sheetId="12" r:id="R8c3c29cb793a4f0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6">
    <x:font>
      <x:sz val="11"/>
      <x:name val="Carlito"/>
    </x:font>
    <x:font>
      <x:b/>
      <x:sz val="18"/>
      <x:color rgb="FFFFFFFF"/>
      <x:name val="Carlito"/>
    </x:font>
    <x:font>
      <x:i/>
      <x:sz val="11"/>
      <x:color rgb="FF667085"/>
      <x:name val="Carlito"/>
    </x:font>
    <x:font>
      <x:b/>
      <x:sz val="11"/>
      <x:color rgb="FF0B2545"/>
      <x:name val="Carlito"/>
    </x:font>
    <x:font>
      <x:sz val="10"/>
      <x:color rgb="FF20262E"/>
      <x:name val="Carlito"/>
    </x:font>
    <x:font>
      <x:b/>
      <x:sz val="11"/>
      <x:color rgb="FF20262E"/>
      <x:name val="Carlito"/>
    </x:font>
  </x:fonts>
  <x:fills count="7">
    <x:fill>
      <x:patternFill patternType="none"/>
    </x:fill>
    <x:fill>
      <x:patternFill patternType="gray125"/>
    </x:fill>
    <x:fill>
      <x:patternFill patternType="solid">
        <x:fgColor rgb="FF0B2545"/>
      </x:patternFill>
    </x:fill>
    <x:fill>
      <x:patternFill patternType="solid">
        <x:fgColor rgb="FFF4F6F9"/>
      </x:patternFill>
    </x:fill>
    <x:fill>
      <x:patternFill patternType="solid">
        <x:fgColor rgb="FFE8EEF5"/>
      </x:patternFill>
    </x:fill>
    <x:fill>
      <x:patternFill patternType="solid">
        <x:fgColor rgb="FFFFF4D6"/>
      </x:patternFill>
    </x:fill>
    <x:fill>
      <x:patternFill patternType="solid">
        <x:fgColor rgb="FFE7F6EC"/>
      </x:patternFill>
    </x:fill>
  </x:fills>
  <x:borders count="15">
    <x:border/>
    <x:border>
      <x:left style="thin">
        <x:color rgb="FFB7C5D6"/>
      </x:left>
      <x:top style="thin">
        <x:color rgb="FFB7C5D6"/>
      </x:top>
      <x:bottom style="thin">
        <x:color rgb="FFB7C5D6"/>
      </x:bottom>
    </x:border>
    <x:border>
      <x:right style="thin">
        <x:color rgb="FFB7C5D6"/>
      </x:right>
      <x:top style="thin">
        <x:color rgb="FFB7C5D6"/>
      </x:top>
      <x:bottom style="thin">
        <x:color rgb="FFB7C5D6"/>
      </x:bottom>
    </x:border>
    <x:border>
      <x:bottom style="thin">
        <x:color rgb="FFD9E0E8"/>
      </x:bottom>
    </x:border>
    <x:border>
      <x:top style="thin">
        <x:color rgb="FFD9E0E8"/>
      </x:top>
      <x:bottom style="thin">
        <x:color rgb="FFD9E0E8"/>
      </x:bottom>
    </x:border>
    <x:border>
      <x:top style="thin">
        <x:color rgb="FFD9E0E8"/>
      </x:top>
    </x:border>
    <x:border>
      <x:left style="thin">
        <x:color rgb="FFD9B65B"/>
      </x:left>
      <x:top style="thin">
        <x:color rgb="FFD9B65B"/>
      </x:top>
    </x:border>
    <x:border>
      <x:top style="thin">
        <x:color rgb="FFD9B65B"/>
      </x:top>
    </x:border>
    <x:border>
      <x:right style="thin">
        <x:color rgb="FFD9B65B"/>
      </x:right>
      <x:top style="thin">
        <x:color rgb="FFD9B65B"/>
      </x:top>
    </x:border>
    <x:border>
      <x:left style="thin">
        <x:color rgb="FFD9B65B"/>
      </x:left>
    </x:border>
    <x:border>
      <x:right style="thin">
        <x:color rgb="FFD9B65B"/>
      </x:right>
    </x:border>
    <x:border>
      <x:left style="thin">
        <x:color rgb="FFD9B65B"/>
      </x:left>
      <x:bottom style="thin">
        <x:color rgb="FFD9B65B"/>
      </x:bottom>
    </x:border>
    <x:border>
      <x:bottom style="thin">
        <x:color rgb="FFD9B65B"/>
      </x:bottom>
    </x:border>
    <x:border>
      <x:right style="thin">
        <x:color rgb="FFD9B65B"/>
      </x:right>
      <x:bottom style="thin">
        <x:color rgb="FFD9B65B"/>
      </x:bottom>
    </x:border>
    <x:border>
      <x:top style="thin">
        <x:color rgb="FFB7C5D6"/>
      </x:top>
      <x:bottom style="thin">
        <x:color rgb="FFB7C5D6"/>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4" fillId="0" borderId="0"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3" xfId="0" applyNumberFormat="1" applyFont="1" applyFill="1" applyBorder="1"/>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3" xfId="0" applyNumberFormat="1" applyFont="1" applyFill="1" applyBorder="1" applyAlignment="1">
      <x:alignment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10" xfId="0" applyNumberFormat="1" applyFont="1" applyFill="1" applyBorder="1" applyAlignment="1">
      <x:alignment vertical="center" wrapText="1"/>
    </x:xf>
    <x:xf numFmtId="0" fontId="5" fillId="5" borderId="11" xfId="0" applyNumberFormat="1" applyFont="1" applyFill="1" applyBorder="1" applyAlignment="1">
      <x:alignment vertical="center" wrapText="1"/>
    </x:xf>
    <x:xf numFmtId="0" fontId="5" fillId="5" borderId="12" xfId="0" applyNumberFormat="1" applyFont="1" applyFill="1" applyBorder="1" applyAlignment="1">
      <x:alignment vertical="center" wrapText="1"/>
    </x:xf>
    <x:xf numFmtId="0" fontId="5" fillId="5" borderId="13" xfId="0" applyNumberFormat="1" applyFont="1" applyFill="1" applyBorder="1" applyAlignment="1">
      <x:alignment vertical="center" wrapText="1"/>
    </x:xf>
    <x:xf numFmtId="0" fontId="3" fillId="4" borderId="14" xfId="0" applyNumberFormat="1" applyFont="1" applyFill="1" applyBorder="1"/>
    <x:xf numFmtId="0" fontId="3" fillId="4" borderId="14" xfId="0" applyNumberFormat="1" applyFont="1" applyFill="1" applyBorder="1" applyAlignment="1">
      <x:alignment wrapText="1"/>
    </x:xf>
    <x:xf numFmtId="0" fontId="3" fillId="4" borderId="14" xfId="0" applyNumberFormat="1" applyFont="1" applyFill="1" applyBorder="1" applyAlignment="1">
      <x:alignment vertical="center"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f9590646b24434" /><Relationship Type="http://schemas.openxmlformats.org/officeDocument/2006/relationships/theme" Target="/xl/theme/theme1.xml" Id="Radad146a73db428a" /><Relationship Type="http://schemas.openxmlformats.org/officeDocument/2006/relationships/sharedStrings" Target="/xl/sharedStrings.xml" Id="R0a8685f849744f52" /><Relationship Type="http://schemas.openxmlformats.org/officeDocument/2006/relationships/worksheet" Target="/xl/worksheets/sheet1.xml" Id="Ra655db8828b54891" /><Relationship Type="http://schemas.openxmlformats.org/officeDocument/2006/relationships/worksheet" Target="/xl/worksheets/sheet2.xml" Id="R68f13e176edb441a" /><Relationship Type="http://schemas.openxmlformats.org/officeDocument/2006/relationships/worksheet" Target="/xl/worksheets/sheet3.xml" Id="Ra4604207c79748c1" /><Relationship Type="http://schemas.openxmlformats.org/officeDocument/2006/relationships/worksheet" Target="/xl/worksheets/sheet4.xml" Id="R7cf469bd9d054bd3" /><Relationship Type="http://schemas.openxmlformats.org/officeDocument/2006/relationships/worksheet" Target="/xl/worksheets/sheet5.xml" Id="R9b779fca6ec84f1e" /><Relationship Type="http://schemas.openxmlformats.org/officeDocument/2006/relationships/worksheet" Target="/xl/worksheets/sheet6.xml" Id="R597840cd51cf4393" /><Relationship Type="http://schemas.openxmlformats.org/officeDocument/2006/relationships/worksheet" Target="/xl/worksheets/sheet7.xml" Id="Reeff4307b287428d" /><Relationship Type="http://schemas.openxmlformats.org/officeDocument/2006/relationships/worksheet" Target="/xl/worksheets/sheet8.xml" Id="R34d27c8ce6514a68" /><Relationship Type="http://schemas.openxmlformats.org/officeDocument/2006/relationships/worksheet" Target="/xl/worksheets/sheet9.xml" Id="R99fbf0e8fccf4b74" /><Relationship Type="http://schemas.openxmlformats.org/officeDocument/2006/relationships/worksheet" Target="/xl/worksheets/sheet10.xml" Id="R77721f48f8fb4f04" /><Relationship Type="http://schemas.openxmlformats.org/officeDocument/2006/relationships/worksheet" Target="/xl/worksheets/sheet11.xml" Id="R3e3e979f50cb40b1" /><Relationship Type="http://schemas.openxmlformats.org/officeDocument/2006/relationships/worksheet" Target="/xl/worksheets/sheet12.xml" Id="R8c3c29cb793a4f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s>
  <x:sheetData>
    <x:row r="1">
      <x:c r="A1" s="3" t="str">
        <x:v>Conditioner v1.2-rc1 - nine-field pilot profile</x:v>
      </x:c>
      <x:c r="B1" s="3"/>
      <x:c r="C1" s="3"/>
      <x:c r="D1" s="3"/>
      <x:c r="E1" s="3"/>
      <x:c r="F1" s="3"/>
      <x:c r="G1" s="3"/>
      <x:c r="H1" s="3"/>
    </x:row>
    <x:row r="2">
      <x:c r="A2" s="6" t="str">
        <x:v>Eleven complete rinse-out profiles plus one leave-in boundary exclusion. Agreement tests repeatability, not finished-product truth.</x:v>
      </x:c>
      <x:c r="B2" s="6"/>
      <x:c r="C2" s="6"/>
      <x:c r="D2" s="6"/>
      <x:c r="E2" s="6"/>
      <x:c r="F2" s="6"/>
      <x:c r="G2" s="6"/>
      <x:c r="H2" s="6"/>
    </x:row>
    <x:row r="4">
      <x:c r="A4" s="13" t="str">
        <x:v>Field</x:v>
      </x:c>
      <x:c r="B4" s="14" t="str">
        <x:v>Value</x:v>
      </x:c>
    </x:row>
    <x:row r="5">
      <x:c r="A5" s="22" t="str">
        <x:v>Scope</x:v>
      </x:c>
      <x:c r="B5" s="22" t="str">
        <x:v>German/EU conventional short-contact rinse-out conditioners</x:v>
      </x:c>
    </x:row>
    <x:row r="6">
      <x:c r="A6" s="23" t="str">
        <x:v>Pilot</x:v>
      </x:c>
      <x:c r="B6" s="23" t="str">
        <x:v>12 locked exact product/formula packets</x:v>
      </x:c>
    </x:row>
    <x:row r="7">
      <x:c r="A7" s="23" t="str">
        <x:v>Eligible pilot</x:v>
      </x:c>
      <x:c r="B7" s="23" t="str">
        <x:v>11</x:v>
      </x:c>
    </x:row>
    <x:row r="8">
      <x:c r="A8" s="23" t="str">
        <x:v>Boundary exclusion</x:v>
      </x:c>
      <x:c r="B8" s="23" t="str">
        <x:v>1</x:v>
      </x:c>
    </x:row>
    <x:row r="9">
      <x:c r="A9" s="23" t="str">
        <x:v>Stress cases</x:v>
      </x:c>
      <x:c r="B9" s="23" t="str">
        <x:v>5</x:v>
      </x:c>
    </x:row>
    <x:row r="10">
      <x:c r="A10" s="23" t="str">
        <x:v>Standard</x:v>
      </x:c>
      <x:c r="B10" s="23" t="str">
        <x:v>1.2-rc1</x:v>
      </x:c>
    </x:row>
    <x:row r="11">
      <x:c r="A11" s="23" t="str">
        <x:v>Formula ceiling</x:v>
      </x:c>
      <x:c r="B11" s="23" t="str">
        <x:v>E2</x:v>
      </x:c>
    </x:row>
    <x:row r="12">
      <x:c r="A12" s="23" t="str">
        <x:v>Rinse behavior</x:v>
      </x:c>
      <x:c r="B12" s="23" t="str">
        <x:v>unknown without exact finished-product protocol</x:v>
      </x:c>
    </x:row>
    <x:row r="13">
      <x:c r="A13" s="23" t="str">
        <x:v>Cumulative residue</x:v>
      </x:c>
      <x:c r="B13" s="23" t="str">
        <x:v>indeterminate without repeated-cycle evidence</x:v>
      </x:c>
    </x:row>
    <x:row r="14">
      <x:c r="A14" s="23" t="str">
        <x:v>Full-profile agreement</x:v>
      </x:c>
      <x:c r="B14" s="23" t="str">
        <x:v>91/99 (91.9%) after adjudication</x:v>
      </x:c>
    </x:row>
    <x:row r="15">
      <x:c r="A15" s="24" t="str">
        <x:v>Production writes</x:v>
      </x:c>
      <x:c r="B15" s="24" t="str">
        <x:v>none authorized or performed</x:v>
      </x:c>
    </x:row>
    <x:row r="16">
      <x:c r="A16" s="44" t="str">
        <x:v>Nick review order: Pilot Profile Review -&gt; Uncertainty Review -&gt; Profile Comparison -&gt; Profile Agreement. The direct-property and stress sheets preserve the scientific trace. Current catalog labels are not answer-key inputs. Rinseability is absent from the lean profile; actual rinse behavior remains unknown without exact finished-product testing.</x:v>
      </x:c>
      <x:c r="B16" s="45"/>
      <x:c r="C16" s="45"/>
      <x:c r="D16" s="45"/>
      <x:c r="E16" s="45"/>
      <x:c r="F16" s="45"/>
      <x:c r="G16" s="45"/>
      <x:c r="H16" s="46"/>
    </x:row>
    <x:row r="17">
      <x:c r="A17" s="47"/>
      <x:c r="B17" s="48"/>
      <x:c r="C17" s="48"/>
      <x:c r="D17" s="48"/>
      <x:c r="E17" s="48"/>
      <x:c r="F17" s="48"/>
      <x:c r="G17" s="48"/>
      <x:c r="H17" s="49"/>
    </x:row>
    <x:row r="18">
      <x:c r="A18" s="47"/>
      <x:c r="B18" s="48"/>
      <x:c r="C18" s="48"/>
      <x:c r="D18" s="48"/>
      <x:c r="E18" s="48"/>
      <x:c r="F18" s="48"/>
      <x:c r="G18" s="48"/>
      <x:c r="H18" s="49"/>
    </x:row>
    <x:row r="19">
      <x:c r="A19" s="47"/>
      <x:c r="B19" s="48"/>
      <x:c r="C19" s="48"/>
      <x:c r="D19" s="48"/>
      <x:c r="E19" s="48"/>
      <x:c r="F19" s="48"/>
      <x:c r="G19" s="48"/>
      <x:c r="H19" s="49"/>
    </x:row>
    <x:row r="20">
      <x:c r="A20" s="50"/>
      <x:c r="B20" s="51"/>
      <x:c r="C20" s="51"/>
      <x:c r="D20" s="51"/>
      <x:c r="E20" s="51"/>
      <x:c r="F20" s="51"/>
      <x:c r="G20" s="51"/>
      <x:c r="H20" s="52"/>
    </x:row>
  </x:sheetData>
  <x:mergeCells>
    <x:mergeCell ref="A1:H1"/>
    <x:mergeCell ref="A2:H2"/>
    <x:mergeCell ref="A16: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34" hidden="0" customWidth="1"/>
    <x:col min="4" max="4" width="24" hidden="0" customWidth="1"/>
    <x:col min="5" max="5" width="34" hidden="0" customWidth="1"/>
    <x:col min="6" max="6" width="18" hidden="0" customWidth="1"/>
    <x:col min="7" max="7" width="68" hidden="0" customWidth="1"/>
    <x:col min="8" max="8" width="28" hidden="0" customWidth="1"/>
    <x:col min="9" max="9" width="28" hidden="0" customWidth="1"/>
    <x:col min="10" max="10" width="58" hidden="0" customWidth="1"/>
    <x:col min="11" max="11" width="110" hidden="0" customWidth="1"/>
  </x:cols>
  <x:sheetData>
    <x:row r="1">
      <x:c r="A1" s="3" t="str">
        <x:v>Locked pilot formulas</x:v>
      </x:c>
      <x:c r="B1" s="3"/>
      <x:c r="C1" s="3"/>
      <x:c r="D1" s="3"/>
      <x:c r="E1" s="3"/>
      <x:c r="F1" s="3"/>
      <x:c r="G1" s="3"/>
      <x:c r="H1" s="3"/>
      <x:c r="I1" s="3"/>
      <x:c r="J1" s="3"/>
      <x:c r="K1" s="3"/>
    </x:row>
    <x:row r="2">
      <x:c r="A2" s="6" t="str">
        <x:v>Exact identities and formula fingerprints were frozen before Reviewer A's key and Reviewer C's clean blind classification.</x:v>
      </x:c>
      <x:c r="B2" s="6"/>
      <x:c r="C2" s="6"/>
      <x:c r="D2" s="6"/>
      <x:c r="E2" s="6"/>
      <x:c r="F2" s="6"/>
      <x:c r="G2" s="6"/>
      <x:c r="H2" s="6"/>
      <x:c r="I2" s="6"/>
      <x:c r="J2" s="6"/>
      <x:c r="K2" s="6"/>
    </x:row>
    <x:row r="4">
      <x:c r="A4" s="13" t="str">
        <x:v>product_id</x:v>
      </x:c>
      <x:c r="B4" s="55" t="str">
        <x:v>brand</x:v>
      </x:c>
      <x:c r="C4" s="55" t="str">
        <x:v>exact_name</x:v>
      </x:c>
      <x:c r="D4" s="55" t="str">
        <x:v>boundary</x:v>
      </x:c>
      <x:c r="E4" s="55" t="str">
        <x:v>archetypes</x:v>
      </x:c>
      <x:c r="F4" s="55" t="str">
        <x:v>GTIN(s)</x:v>
      </x:c>
      <x:c r="G4" s="55" t="str">
        <x:v>formula_fingerprint</x:v>
      </x:c>
      <x:c r="H4" s="55" t="str">
        <x:v>identity_status</x:v>
      </x:c>
      <x:c r="I4" s="55" t="str">
        <x:v>formula_status</x:v>
      </x:c>
      <x:c r="J4" s="55" t="str">
        <x:v>source_url</x:v>
      </x:c>
      <x:c r="K4" s="14" t="str">
        <x:v>raw_inci</x:v>
      </x:c>
    </x:row>
    <x:row r="5">
      <x:c r="A5" s="22" t="str">
        <x:v>483b41d6-632c-4efe-9bcc-488c80bf5bb7</x:v>
      </x:c>
      <x:c r="B5" s="22" t="str">
        <x:v>Balea</x:v>
      </x:c>
      <x:c r="C5" s="22" t="str">
        <x:v>Balea Med Ultra Sensitive Conditioner</x:v>
      </x:c>
      <x:c r="D5" s="22" t="str">
        <x:v>eligible</x:v>
      </x:c>
      <x:c r="E5" s="22" t="str">
        <x:v>sensitive_fragrance_free | lightweight</x:v>
      </x:c>
      <x:c r="F5" s="22" t="str">
        <x:v>4066447966022</x:v>
      </x:c>
      <x:c r="G5" s="22" t="str">
        <x:v>ce8d05ad752a7be533c6556e7eb955e62da2d636d2263fe3ccb869c87421341f</x:v>
      </x:c>
      <x:c r="H5" s="22" t="str">
        <x:v>verified</x:v>
      </x:c>
      <x:c r="I5" s="22" t="str">
        <x:v>verified</x:v>
      </x:c>
      <x:c r="J5" s="22" t="str">
        <x:v>https://www.dm.de/p/d/1587731/balea-med-conditioner-ultra-sensitive</x:v>
      </x:c>
      <x:c r="K5" s="22" t="str">
        <x:v>Aqua, Cetyl Alcohol, Glycerin, Cetrimonium Chloride, Dicaprylyl Ether, Isopropyl Palmitate, Panthenol, Hydroxypropyl Guar Hydroxypropyltrimonium Chloride, Sodium Benzoate, Citric Acid, Niacinamide, Potassium Sorbate</x:v>
      </x:c>
    </x:row>
    <x:row r="6">
      <x:c r="A6" s="23" t="str">
        <x:v>a6730d6f-df2f-4ebf-8013-eb39162f15df</x:v>
      </x:c>
      <x:c r="B6" s="23" t="str">
        <x:v>Balea</x:v>
      </x:c>
      <x:c r="C6" s="23" t="str">
        <x:v>Balea Professional Aqua Hyaluron Conditioner</x:v>
      </x:c>
      <x:c r="D6" s="23" t="str">
        <x:v>eligible</x:v>
      </x:c>
      <x:c r="E6" s="23" t="str">
        <x:v>lightweight | mainstream_general</x:v>
      </x:c>
      <x:c r="F6" s="23" t="str">
        <x:v>4066447342055</x:v>
      </x:c>
      <x:c r="G6" s="23" t="str">
        <x:v>040f1bd4837a90ae7b3f53aece89b496723ba4607d7ca2df18e246cdebb5bf8f</x:v>
      </x:c>
      <x:c r="H6" s="23" t="str">
        <x:v>verified</x:v>
      </x:c>
      <x:c r="I6" s="23" t="str">
        <x:v>verified</x:v>
      </x:c>
      <x:c r="J6" s="23" t="str">
        <x:v>https://www.dm.de/p/d/1675522/balea-professional-spuelung-aqua-hyaluron</x:v>
      </x:c>
      <x:c r="K6" s="23" t="str">
        <x:v>Aqua, Cetearyl Alcohol, Stearamidopropyl Dimethylamine, Glycerin, Lactic Acid, Sodium Cetearyl Sulfate, Parfum, Sodium Benzoate, Aloe Barbadensis Leaf Juice Powder, Potassium Sorbate, Sodium Hyaluronate, Disodium Phosphate, Potassium Phosphate</x:v>
      </x:c>
    </x:row>
    <x:row r="7">
      <x:c r="A7" s="23" t="str">
        <x:v>5516009a-eecb-42dd-87f6-07c560161136</x:v>
      </x:c>
      <x:c r="B7" s="23" t="str">
        <x:v>Garnier Fructis</x:v>
      </x:c>
      <x:c r="C7" s="23" t="str">
        <x:v>Hair Food Aloe Vera Feuchtigkeits-Spülung</x:v>
      </x:c>
      <x:c r="D7" s="23" t="str">
        <x:v>eligible</x:v>
      </x:c>
      <x:c r="E7" s="23" t="str">
        <x:v>mainstream_general | oil_lipid</x:v>
      </x:c>
      <x:c r="F7" s="23" t="str">
        <x:v>3600542398022</x:v>
      </x:c>
      <x:c r="G7" s="23" t="str">
        <x:v>eea7bb9742003c10dd6313c20fad55c83354a157f38b984683b118be03dfa6b2</x:v>
      </x:c>
      <x:c r="H7" s="23" t="str">
        <x:v>verified_with_minor_source_difference</x:v>
      </x:c>
      <x:c r="I7" s="23" t="str">
        <x:v>verified</x:v>
      </x:c>
      <x:c r="J7" s="23" t="str">
        <x:v>https://www.garnier.de/haarpflege/haarpflege-marken/fructis/hair-food/feuchtigkeits-spuelung-mit-aloe-vera</x:v>
      </x:c>
      <x:c r="K7" s="23" t="str">
        <x:v>Aqua / Water, Glycerin, Cetearyl Alcohol, Helianthus Annuus Seed Oil / Sunflower Seed Oil, Aloe Barbadensis Leaf Juice, Cocos Nucifera Oil / Coconut Oil, Stearamidopropyl Dimethylamine, Glyceryl Stearate, Hydroxypropyl Guar, Caprylyl Glycol, Citric Acid, Tartaric Acid, Cetyl Esters, Potassium Sorbate, Sodium Benzoate, Salicylic Acid, Linalool, Geraniol, Citronellol, Parfum / Fragrance</x:v>
      </x:c>
    </x:row>
    <x:row r="8">
      <x:c r="A8" s="23" t="str">
        <x:v>952a4834-e451-4dc3-ba19-ebb8927eb5e4</x:v>
      </x:c>
      <x:c r="B8" s="23" t="str">
        <x:v>NEQI</x:v>
      </x:c>
      <x:c r="C8" s="23" t="str">
        <x:v>Volume Victory Conditioner</x:v>
      </x:c>
      <x:c r="D8" s="23" t="str">
        <x:v>eligible</x:v>
      </x:c>
      <x:c r="E8" s="23" t="str">
        <x:v>volume_lightness | protein_film | light_brand_rich_architecture</x:v>
      </x:c>
      <x:c r="F8" s="23" t="str">
        <x:v>4063528078407</x:v>
      </x:c>
      <x:c r="G8" s="23" t="str">
        <x:v>c09c97562c7c701dbf4b575ce09e84618a91c645a93c4e24a96b63359b677769</x:v>
      </x:c>
      <x:c r="H8" s="23" t="str">
        <x:v>verified</x:v>
      </x:c>
      <x:c r="I8" s="23" t="str">
        <x:v>verified</x:v>
      </x:c>
      <x:c r="J8" s="23" t="str">
        <x:v>https://www.rossmann.de/de/pflege-und-duft-neqi-volume-victory-conditioner/p/4063528078407</x:v>
      </x:c>
      <x:c r="K8" s="23" t="str">
        <x:v>Aqua, Myristyl Alcohol, Cetearyl Alcohol, Cetrimonium Chloride, Panthenol, Avena Sativa Oat Peptide, Gardenia Taitensis Flower Extract, Lycium Barbarum Fruit Extract, Malva Sylvestris Extract, Juniperus Virginiana Oil, Citrus Aurantium Peel Oil, Phenoxyethanol, Amodimethicone, Synthetic Fluorphlogopite, Titanium Dioxide, Polyquaternium-11, Tetramethyl Acetyloctahydronaphthalenes, Propylene Glycol, C13-15 Alkane, Glycerin, Citric Acid, Trideceth-10, Tin Oxide, Methylchloroisothiazolinone, Methylisothiazolinone, 1,2-Hexanediol, Caprylyl Glycol, Parfum, Hexyl Cinnamal, Limonene, Linalool</x:v>
      </x:c>
    </x:row>
    <x:row r="9">
      <x:c r="A9" s="23" t="str">
        <x:v>62ff4f08-3ff2-49f3-9e93-e6fd0f395a4d</x:v>
      </x:c>
      <x:c r="B9" s="23" t="str">
        <x:v>John Frieda</x:v>
      </x:c>
      <x:c r="C9" s="23" t="str">
        <x:v>Frizz Ease Wunder-Reparatur Conditioner</x:v>
      </x:c>
      <x:c r="D9" s="23" t="str">
        <x:v>eligible</x:v>
      </x:c>
      <x:c r="E9" s="23" t="str">
        <x:v>rich_repair | oil_lipid</x:v>
      </x:c>
      <x:c r="F9" s="23" t="str">
        <x:v>5037156298741</x:v>
      </x:c>
      <x:c r="G9" s="23" t="str">
        <x:v>a125a5c7957821ef251caf4f37f13cbbb5d6f13f141703198245a170586bef9d</x:v>
      </x:c>
      <x:c r="H9" s="23" t="str">
        <x:v>verified</x:v>
      </x:c>
      <x:c r="I9" s="23" t="str">
        <x:v>verified</x:v>
      </x:c>
      <x:c r="J9" s="23" t="str">
        <x:v>https://www.rossmann.de/de/pflege-und-duft-john-frieda-frizz-ease-wunder-reparatur-frizz-ease-wunder-reparatur-conditioner/p/5037156298741</x:v>
      </x:c>
      <x:c r="K9" s="23" t="str">
        <x:v>Water, Cetearyl Alcohol, Isopropyl Myristate, Behentrimonium Chloride, Dicocoylethyl Hydroxyethylmonium Methosulfate, Dipropylene Glycol, Propylene Glycol, Panthenol, Sodium Hydroxide, Tetrasodium Glutamate Diacetate, Olea Europaea Fruit Oil, Ricinus Communis Seed Oil, Ceramide NG, Citric Acid, Benzoic Acid, Fragrance, Hexyl Cinnamal, Tetramethyl Acetyloctahydronaphthalenes</x:v>
      </x:c>
    </x:row>
    <x:row r="10">
      <x:c r="A10" s="23" t="str">
        <x:v>11d42d9d-b8d8-42ae-a432-9a3d0f9d3504</x:v>
      </x:c>
      <x:c r="B10" s="23" t="str">
        <x:v>Guhl</x:v>
      </x:c>
      <x:c r="C10" s="23" t="str">
        <x:v>Panthenol + Reparatur 2in1 Kur &amp; Spülung</x:v>
      </x:c>
      <x:c r="D10" s="23" t="str">
        <x:v>eligible</x:v>
      </x:c>
      <x:c r="E10" s="23" t="str">
        <x:v>silicone_free_strongly_cationic</x:v>
      </x:c>
      <x:c r="F10" s="23" t="str">
        <x:v>4072600703403</x:v>
      </x:c>
      <x:c r="G10" s="23" t="str">
        <x:v>d6019125cf04e0d69108e501464222258f83c273f54c3a133c69dea60570f07d</x:v>
      </x:c>
      <x:c r="H10" s="23" t="str">
        <x:v>verified_with_minor_source_difference</x:v>
      </x:c>
      <x:c r="I10" s="23" t="str">
        <x:v>verified</x:v>
      </x:c>
      <x:c r="J10" s="23" t="str">
        <x:v>https://www.guhl.com/produkt/panthenol-reparatur/panthenol-reparatur-2in1-kur-spuelung/</x:v>
      </x:c>
      <x:c r="K10" s="23" t="str">
        <x:v>Aqua, Cetearyl Alcohol, Behentrimonium Chloride, Dipropylene Glycol, Cetyl Esters, Panthenol, Tetrasodium Glutamate Diacetate, Lactic Acid, Ethylhexylglycerin, Glycine, Avena Sativa Kernel Oil, Phenoxyethanol, Parfum, Vanillin</x:v>
      </x:c>
    </x:row>
    <x:row r="11">
      <x:c r="A11" s="23" t="str">
        <x:v>4fca59e5-fbc4-4132-a821-dac6ff0cdb68</x:v>
      </x:c>
      <x:c r="B11" s="23" t="str">
        <x:v>OGX</x:v>
      </x:c>
      <x:c r="C11" s="23" t="str">
        <x:v>Biotin &amp; Collagen Conditioner</x:v>
      </x:c>
      <x:c r="D11" s="23" t="str">
        <x:v>eligible</x:v>
      </x:c>
      <x:c r="E11" s="23" t="str">
        <x:v>protein_film | rich_silicone_repair</x:v>
      </x:c>
      <x:c r="F11" s="23" t="str">
        <x:v>3574661799506</x:v>
      </x:c>
      <x:c r="G11" s="23" t="str">
        <x:v>4c69d48dd7347bfca88fa77000aa0f13c2019b503f019f5f855e2ce2a80a8ccf</x:v>
      </x:c>
      <x:c r="H11" s="23" t="str">
        <x:v>verified</x:v>
      </x:c>
      <x:c r="I11" s="23" t="str">
        <x:v>verified</x:v>
      </x:c>
      <x:c r="J11" s="23" t="str">
        <x:v>https://www.dm.de/p/d/1443632/ogx-conditioner-thick-und-full-biotin-und-collagen</x:v>
      </x:c>
      <x:c r="K11" s="23" t="str">
        <x:v>Aqua, Cetearyl Alcohol, Behentrimonium Chloride, Glycerin, Biotin, Hydrolyzed Collagen, Dimethicone, Stearamidopropyl Dimethylamine, Isopropyl Myristate, Coco-Caprylate/Caprate, Steareth-20, Isopropyl Alcohol, Citric Acid, Sodium Hydroxide, Sodium Benzoate, Parfum</x:v>
      </x:c>
    </x:row>
    <x:row r="12">
      <x:c r="A12" s="23" t="str">
        <x:v>d8ac8909-91a1-46b3-9fa6-2ff66b78fb66</x:v>
      </x:c>
      <x:c r="B12" s="23" t="str">
        <x:v>Cantu</x:v>
      </x:c>
      <x:c r="C12" s="23" t="str">
        <x:v>Conditioner Cream</x:v>
      </x:c>
      <x:c r="D12" s="23" t="str">
        <x:v>eligible</x:v>
      </x:c>
      <x:c r="E12" s="23" t="str">
        <x:v>oil_butter | curl_coily_rich</x:v>
      </x:c>
      <x:c r="F12" s="23" t="str">
        <x:v>810006945478</x:v>
      </x:c>
      <x:c r="G12" s="23" t="str">
        <x:v>00011c74c4871aa9400afec7ea5f9c8df019b559082e360d51b3b967ca4eef70</x:v>
      </x:c>
      <x:c r="H12" s="23" t="str">
        <x:v>verified</x:v>
      </x:c>
      <x:c r="I12" s="23" t="str">
        <x:v>verified</x:v>
      </x:c>
      <x:c r="J12" s="23" t="str">
        <x:v>https://www.dm.de/p/d/1675021/cantu-conditioner-cream</x:v>
      </x:c>
      <x:c r="K12" s="23" t="str">
        <x:v>Aqua, Stearyl Alcohol, Cetyl Alcohol, Butyrospermum Parkii Butter, Stearamidopropyl Dimethylamine, Glyceryl Stearate, Riboflavin, Niacin, Pantothenic Acid, Pyridoxine, Biotin, Folic Acid, Cyanocobalamin, Panthenol, Leuconostoc/Radish Root Ferment Filtrate, Parfum, Polyester-11, Phenoxyethanol, Neopentyl Glycol Diheptanoate, Isododecane, Polyquaternium-7, Lactic Acid, Disodium EDTA, Ethylhexylglycerin, Sodium Benzoate, Benzyl Benzoate, Citric Acid, Tocopherol</x:v>
      </x:c>
    </x:row>
    <x:row r="13">
      <x:c r="A13" s="23" t="str">
        <x:v>4f67cb6d-4b28-490b-9817-e8fc8e91b010</x:v>
      </x:c>
      <x:c r="B13" s="23" t="str">
        <x:v>Jean&amp;Len</x:v>
      </x:c>
      <x:c r="C13" s="23" t="str">
        <x:v>Colorglow Granatapfel Rose Conditioner</x:v>
      </x:c>
      <x:c r="D13" s="23" t="str">
        <x:v>eligible</x:v>
      </x:c>
      <x:c r="E13" s="23" t="str">
        <x:v>acidic_color_care</x:v>
      </x:c>
      <x:c r="F13" s="23" t="str">
        <x:v>4262401738883</x:v>
      </x:c>
      <x:c r="G13" s="23" t="str">
        <x:v>02a24542d33b0d611ac9a4b0ec51611880d1248ce519cfc811e403c7165ca662</x:v>
      </x:c>
      <x:c r="H13" s="23" t="str">
        <x:v>verified</x:v>
      </x:c>
      <x:c r="I13" s="23" t="str">
        <x:v>verified</x:v>
      </x:c>
      <x:c r="J13" s="23" t="str">
        <x:v>https://www.dm.de/p/d/3086487/jean-und-len-conditioner-colorglow-granatapfel-rose</x:v>
      </x:c>
      <x:c r="K13" s="23" t="str">
        <x:v>Aqua, Cetearyl Alcohol, Distearoylethyl Hydroxyethylmonium Methosulfate, Punica Granatum Fruit Extract, Rosa Gallica Flower Extract, Panthenol, Tocopherol, Dicaprylyl Ether, Behentrimonium Chloride, Cetrimonium Chloride, Phenoxyethanol, Parfum, Benzophenone-4, Isopropyl Alcohol, Helianthus Annuus Seed Oil, Glycerin, Alcohol, Sodium Hydroxide, Citric Acid, Tetramethyl Acetyloctahydronaphthalenes</x:v>
      </x:c>
    </x:row>
    <x:row r="14">
      <x:c r="A14" s="23" t="str">
        <x:v>8182ee3f-cfe9-4a31-8b2f-a6a52c7e7abe</x:v>
      </x:c>
      <x:c r="B14" s="23" t="str">
        <x:v>Bali Curls</x:v>
      </x:c>
      <x:c r="C14" s="23" t="str">
        <x:v>Moisturising Conditioner Reisegröße</x:v>
      </x:c>
      <x:c r="D14" s="23" t="str">
        <x:v>eligible</x:v>
      </x:c>
      <x:c r="E14" s="23" t="str">
        <x:v>curl_coily_rich | manufacturer_retailer_confirmed</x:v>
      </x:c>
      <x:c r="F14" s="23" t="str">
        <x:v>4262391991626</x:v>
      </x:c>
      <x:c r="G14" s="23" t="str">
        <x:v>5c643700db25fece77b870b6a1d9d58d15435540c46a011e471563a346808c7f</x:v>
      </x:c>
      <x:c r="H14" s="23" t="str">
        <x:v>verified</x:v>
      </x:c>
      <x:c r="I14" s="23" t="str">
        <x:v>verified</x:v>
      </x:c>
      <x:c r="J14" s="23" t="str">
        <x:v>https://www.bali-care.com/de-de/products/moisturizing-conditioner</x:v>
      </x:c>
      <x:c r="K14" s="23" t="str">
        <x:v>Aqua, Cetearyl Alcohol, Glycerin, Cocos Nucifera Oil, Butyrospermum Parkii Butter, Glycine Soja Oil, Helianthus Annuus Seed Oil, Cetrimonium Chloride, Betaine, Behentrimonium Methosulfate, Panthenol, Sodium Benzoate, Parfum, Hydroxypropyl Guar Hydroxypropyltrimonium Chloride, Glyceryl Stearate SE, Potassium Sorbate, Lactic Acid, Linalool, Citric Acid, Limonene, Cananga Odorata Flower Extract</x:v>
      </x:c>
    </x:row>
    <x:row r="15">
      <x:c r="A15" s="23" t="str">
        <x:v>9f8da740-87b6-45e0-ab86-d77d63f2e22b</x:v>
      </x:c>
      <x:c r="B15" s="23" t="str">
        <x:v>Guhl</x:v>
      </x:c>
      <x:c r="C15" s="23" t="str">
        <x:v>Bond+ Reparatur Spülung</x:v>
      </x:c>
      <x:c r="D15" s="23" t="str">
        <x:v>eligible</x:v>
      </x:c>
      <x:c r="E15" s="23" t="str">
        <x:v>bond_claim</x:v>
      </x:c>
      <x:c r="F15" s="23" t="str">
        <x:v>4072600701218</x:v>
      </x:c>
      <x:c r="G15" s="23" t="str">
        <x:v>192a1aa8d863d5de013575bca75e2d5d3559e3e28ad315f8c90352160df6f1b0</x:v>
      </x:c>
      <x:c r="H15" s="23" t="str">
        <x:v>verified_with_minor_source_difference</x:v>
      </x:c>
      <x:c r="I15" s="23" t="str">
        <x:v>verified</x:v>
      </x:c>
      <x:c r="J15" s="23" t="str">
        <x:v>https://www.guhl.com/produkt/bond-reparatur/bond-reparatur-spuelung/</x:v>
      </x:c>
      <x:c r="K15" s="23" t="str">
        <x:v>Aqua, Cetearyl Alcohol, Cetyl Esters, Cetrimonium Chloride, Behenamidopropyl Dimethylamine, Triheptanoin, Hydroxypropylgluconamide, Benzyl Alcohol, Lactic Acid, Hydroxypropylammonium Gluconate, Panthenol, Ethylhexylglycerin, Glycine, Glycerin, Chondrus Crispus Extract, Phenethyl Alcohol, Phenoxyethanol, Sodium Benzoate, Potassium Sorbate, Parfum</x:v>
      </x:c>
    </x:row>
    <x:row r="16">
      <x:c r="A16" s="24" t="str">
        <x:v>7539ab79-f4f6-49d7-9269-08034ef4de96</x:v>
      </x:c>
      <x:c r="B16" s="24" t="str">
        <x:v>Cantu</x:v>
      </x:c>
      <x:c r="C16" s="24" t="str">
        <x:v>Leave-In Repair Cream</x:v>
      </x:c>
      <x:c r="D16" s="24" t="str">
        <x:v>excluded_product_form</x:v>
      </x:c>
      <x:c r="E16" s="24" t="str">
        <x:v>product_form_boundary</x:v>
      </x:c>
      <x:c r="F16" s="24" t="str">
        <x:v>810006945430</x:v>
      </x:c>
      <x:c r="G16" s="24" t="str">
        <x:v>140654589497e8a449cd7715e27bfb30a7629836c93d5ae9b53d25ece50c690b</x:v>
      </x:c>
      <x:c r="H16" s="24" t="str">
        <x:v>excluded_product_form</x:v>
      </x:c>
      <x:c r="I16" s="24" t="str">
        <x:v>verified</x:v>
      </x:c>
      <x:c r="J16" s="24" t="str">
        <x:v>https://www.dm.de/p/d/1685686/cantu-leave-in-haarkur-repair-creme</x:v>
      </x:c>
      <x:c r="K16" s="24" t="str">
        <x:v>Aqua, Canola Oil, Cetearyl Alcohol, Glycerin, Behentrimonium Methosulfate, Butyrospermum Parkii Butter, Olea Europaea Fruit Oil, Riboflavin, Niacin, Pantothenic Acid, Pyridoxine, Folic Acid, Cyanocobalamin, Biotin, Leuconostoc/Radish Root Ferment Filtrate, Panthenol, Citrus Sinensis Fruit Extract, Salvia Officinalis Leaf Extract, Urtica Dioica Extract, Aloe Barbadensis Leaf Juice, Achillea Millefolium Extract, Actinidia Chinensis Fruit Extract, Rosmarinus Officinalis Leaf Extract, Sodium Hyaluronate, Hydrogenated Ethylhexyl Olivate, Hydrogenated Olive Oil Unsaponifiables, Parfum, Phenoxyethanol, Ethylhexylglycerin, Polyquaternium-10, Disodium EDTA, Pentaerythrityl Tetracaprylate/Tetracaprate, Sodium Benzoate, Citric Acid, Cetrimonium Chloride, Benzyl Alcohol, Benzyl Salicylate, Citral, Coumarin, Hexyl Cinnamal, Limonene, Linalool, Sodium Hydroxide, Helianthus Annuus Seed Oil, Lecithin, Ascorbyl Palmitate, Tocopherol, Propylene Glycol, Potassium Sorbate, Lactic Acid, Tetrasodium Glutamate Diacetate, Tetramethyl Acetyloctahydronaphthalenes</x:v>
      </x:c>
    </x:row>
  </x:sheetData>
  <x:mergeCells>
    <x:mergeCell ref="A1:K1"/>
    <x:mergeCell ref="A2:K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26"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70" hidden="0" customWidth="1"/>
  </x:cols>
  <x:sheetData>
    <x:row r="1">
      <x:c r="A1" s="3" t="str">
        <x:v>Reviewer A historical v1.1 key</x:v>
      </x:c>
      <x:c r="B1" s="3"/>
      <x:c r="C1" s="3"/>
      <x:c r="D1" s="3"/>
      <x:c r="E1" s="3"/>
      <x:c r="F1" s="3"/>
      <x:c r="G1" s="3"/>
      <x:c r="H1" s="3"/>
      <x:c r="I1" s="3"/>
      <x:c r="J1" s="3"/>
      <x:c r="K1" s="3"/>
      <x:c r="L1" s="3"/>
      <x:c r="M1" s="3"/>
      <x:c r="N1" s="3"/>
      <x:c r="O1" s="3"/>
      <x:c r="P1" s="3"/>
      <x:c r="Q1" s="3"/>
      <x:c r="R1" s="3"/>
      <x:c r="S1" s="3"/>
      <x:c r="T1" s="3"/>
      <x:c r="U1" s="3"/>
    </x:row>
    <x:row r="2">
      <x:c r="A2" s="6" t="str">
        <x:v>Preserved for the accepted Reviewer C comparison. Bali's corrected v1.2 formula is evaluated separately and is not retrofitted into this blind metric.</x:v>
      </x:c>
      <x:c r="B2" s="6"/>
      <x:c r="C2" s="6"/>
      <x:c r="D2" s="6"/>
      <x:c r="E2" s="6"/>
      <x:c r="F2" s="6"/>
      <x:c r="G2" s="6"/>
      <x:c r="H2" s="6"/>
      <x:c r="I2" s="6"/>
      <x:c r="J2" s="6"/>
      <x:c r="K2" s="6"/>
      <x:c r="L2" s="6"/>
      <x:c r="M2" s="6"/>
      <x:c r="N2" s="6"/>
      <x:c r="O2" s="6"/>
      <x:c r="P2" s="6"/>
      <x:c r="Q2" s="6"/>
      <x:c r="R2" s="6"/>
      <x:c r="S2" s="6"/>
      <x:c r="T2" s="6"/>
      <x:c r="U2" s="6"/>
    </x:row>
    <x:row r="4">
      <x:c r="A4" s="13" t="str">
        <x:v>product_id</x:v>
      </x:c>
      <x:c r="B4" s="55" t="str">
        <x:v>exact_name</x:v>
      </x:c>
      <x:c r="C4" s="55" t="str">
        <x:v>boundary</x:v>
      </x:c>
      <x:c r="D4" s="55" t="str">
        <x:v>routes</x:v>
      </x:c>
      <x:c r="E4" s="55" t="str">
        <x:v>conditioning_deposition_potential</x:v>
      </x:c>
      <x:c r="F4" s="55" t="str">
        <x:v>wet_slip_detangling_potential</x:v>
      </x:c>
      <x:c r="G4" s="55" t="str">
        <x:v>dry_combability_potential</x:v>
      </x:c>
      <x:c r="H4" s="55" t="str">
        <x:v>surface_lubrication_softness_potential</x:v>
      </x:c>
      <x:c r="I4" s="55" t="str">
        <x:v>smoothing_frizz_control_potential</x:v>
      </x:c>
      <x:c r="J4" s="55" t="str">
        <x:v>shine_potential</x:v>
      </x:c>
      <x:c r="K4" s="55" t="str">
        <x:v>weight_deposition_potential</x:v>
      </x:c>
      <x:c r="L4" s="55" t="str">
        <x:v>rinse_behavior</x:v>
      </x:c>
      <x:c r="M4" s="55" t="str">
        <x:v>cumulative_residue_risk</x:v>
      </x:c>
      <x:c r="N4" s="55" t="str">
        <x:v>body_lightness_potential</x:v>
      </x:c>
      <x:c r="O4" s="55" t="str">
        <x:v>repair_lubrication_protection</x:v>
      </x:c>
      <x:c r="P4" s="55" t="str">
        <x:v>repair_surface_film</x:v>
      </x:c>
      <x:c r="Q4" s="55" t="str">
        <x:v>bond_specific_support</x:v>
      </x:c>
      <x:c r="R4" s="55" t="str">
        <x:v>color_chemical_damage_protection</x:v>
      </x:c>
      <x:c r="S4" s="55" t="str">
        <x:v>fragrance_scalp_exposure</x:v>
      </x:c>
      <x:c r="T4" s="55" t="str">
        <x:v>usage_role</x:v>
      </x:c>
      <x:c r="U4" s="14" t="str">
        <x:v>rationale</x:v>
      </x:c>
    </x:row>
    <x:row r="5">
      <x:c r="A5" s="22" t="str">
        <x:v>483b41d6-632c-4efe-9bcc-488c80bf5bb7</x:v>
      </x:c>
      <x:c r="B5" s="22" t="str">
        <x:v>Balea Med Ultra Sensitive Conditioner</x:v>
      </x:c>
      <x:c r="C5" s="22" t="str">
        <x:v>eligible</x:v>
      </x:c>
      <x:c r="D5" s="22" t="str">
        <x:v>R1 | R3 | R4 | R6</x:v>
      </x:c>
      <x:c r="E5" s="22" t="str">
        <x:v>higher</x:v>
      </x:c>
      <x:c r="F5" s="22" t="str">
        <x:v>higher</x:v>
      </x:c>
      <x:c r="G5" s="22" t="str">
        <x:v>moderate</x:v>
      </x:c>
      <x:c r="H5" s="22" t="str">
        <x:v>moderate</x:v>
      </x:c>
      <x:c r="I5" s="22" t="str">
        <x:v>moderate</x:v>
      </x:c>
      <x:c r="J5" s="22" t="str">
        <x:v>lower</x:v>
      </x:c>
      <x:c r="K5" s="22" t="str">
        <x:v>moderate</x:v>
      </x:c>
      <x:c r="L5" s="22" t="str">
        <x:v>unknown</x:v>
      </x:c>
      <x:c r="M5" s="22" t="str">
        <x:v>indeterminate</x:v>
      </x:c>
      <x:c r="N5" s="22" t="str">
        <x:v>balanced</x:v>
      </x:c>
      <x:c r="O5" s="22" t="str">
        <x:v>candidate</x:v>
      </x:c>
      <x:c r="P5" s="22" t="str">
        <x:v>none_visible</x:v>
      </x:c>
      <x:c r="Q5" s="22" t="str">
        <x:v>unknown</x:v>
      </x:c>
      <x:c r="R5" s="22" t="str">
        <x:v>general_conditioning</x:v>
      </x:c>
      <x:c r="S5" s="22" t="str">
        <x:v>no_listed_fragrance_signal</x:v>
      </x:c>
      <x:c r="T5" s="22" t="str">
        <x:v>unknown</x:v>
      </x:c>
      <x:c r="U5" s="22" t="str">
        <x:v>Cetrimonium chloride plus fatty alcohol supports a coherent conditioning base; cationic guar adds one shared deposition/film route. Fragrance is not listed, but absence is limited to this captured formula and is not a safety conclusion.</x:v>
      </x:c>
    </x:row>
    <x:row r="6">
      <x:c r="A6" s="23" t="str">
        <x:v>a6730d6f-df2f-4ebf-8013-eb39162f15df</x:v>
      </x:c>
      <x:c r="B6" s="23" t="str">
        <x:v>Balea Professional Aqua Hyaluron Conditioner</x:v>
      </x:c>
      <x:c r="C6" s="23" t="str">
        <x:v>eligible</x:v>
      </x:c>
      <x:c r="D6" s="23" t="str">
        <x:v>R1 | R6 | R8</x:v>
      </x:c>
      <x:c r="E6" s="23" t="str">
        <x:v>moderate</x:v>
      </x:c>
      <x:c r="F6" s="23" t="str">
        <x:v>moderate</x:v>
      </x:c>
      <x:c r="G6" s="23" t="str">
        <x:v>moderate</x:v>
      </x:c>
      <x:c r="H6" s="23" t="str">
        <x:v>moderate</x:v>
      </x:c>
      <x:c r="I6" s="23" t="str">
        <x:v>moderate</x:v>
      </x:c>
      <x:c r="J6" s="23" t="str">
        <x:v>lower</x:v>
      </x:c>
      <x:c r="K6" s="23" t="str">
        <x:v>lower</x:v>
      </x:c>
      <x:c r="L6" s="23" t="str">
        <x:v>unknown</x:v>
      </x:c>
      <x:c r="M6" s="23" t="str">
        <x:v>indeterminate</x:v>
      </x:c>
      <x:c r="N6" s="23" t="str">
        <x:v>likely_preserving</x:v>
      </x:c>
      <x:c r="O6" s="23" t="str">
        <x:v>candidate</x:v>
      </x:c>
      <x:c r="P6" s="23" t="str">
        <x:v>none_visible</x:v>
      </x:c>
      <x:c r="Q6" s="23" t="str">
        <x:v>unknown</x:v>
      </x:c>
      <x:c r="R6" s="23" t="str">
        <x:v>general_conditioning</x:v>
      </x:c>
      <x:c r="S6" s="23" t="str">
        <x:v>fragrance_declared</x:v>
      </x:c>
      <x:c r="T6" s="23" t="str">
        <x:v>unknown</x:v>
      </x:c>
      <x:c r="U6" s="23" t="str">
        <x:v>A compact fatty-alcohol/amidoamine architecture supports moderate conditioning potential without a visible silicone, rich lipid, or polymer film route. Hyaluron and product naming do not upgrade performance.</x:v>
      </x:c>
    </x:row>
    <x:row r="7">
      <x:c r="A7" s="23" t="str">
        <x:v>5516009a-eecb-42dd-87f6-07c560161136</x:v>
      </x:c>
      <x:c r="B7" s="23" t="str">
        <x:v>Hair Food Aloe Vera Feuchtigkeits-Spülung</x:v>
      </x:c>
      <x:c r="C7" s="23" t="str">
        <x:v>eligible</x:v>
      </x:c>
      <x:c r="D7" s="23" t="str">
        <x:v>R1 | R4 | R6 | R8</x:v>
      </x:c>
      <x:c r="E7" s="23" t="str">
        <x:v>higher</x:v>
      </x:c>
      <x:c r="F7" s="23" t="str">
        <x:v>higher</x:v>
      </x:c>
      <x:c r="G7" s="23" t="str">
        <x:v>moderate</x:v>
      </x:c>
      <x:c r="H7" s="23" t="str">
        <x:v>higher</x:v>
      </x:c>
      <x:c r="I7" s="23" t="str">
        <x:v>moderate</x:v>
      </x:c>
      <x:c r="J7" s="23" t="str">
        <x:v>moderate</x:v>
      </x:c>
      <x:c r="K7" s="23" t="str">
        <x:v>higher</x:v>
      </x:c>
      <x:c r="L7" s="23" t="str">
        <x:v>unknown</x:v>
      </x:c>
      <x:c r="M7" s="23" t="str">
        <x:v>indeterminate</x:v>
      </x:c>
      <x:c r="N7" s="23" t="str">
        <x:v>likely_depositing</x:v>
      </x:c>
      <x:c r="O7" s="23" t="str">
        <x:v>candidate</x:v>
      </x:c>
      <x:c r="P7" s="23" t="str">
        <x:v>none_visible</x:v>
      </x:c>
      <x:c r="Q7" s="23" t="str">
        <x:v>unknown</x:v>
      </x:c>
      <x:c r="R7" s="23" t="str">
        <x:v>general_conditioning</x:v>
      </x:c>
      <x:c r="S7" s="23" t="str">
        <x:v>aromatic_or_allergen_exposure</x:v>
      </x:c>
      <x:c r="T7" s="23" t="str">
        <x:v>unknown</x:v>
      </x:c>
      <x:c r="U7" s="23" t="str">
        <x:v>The amidoamine/fatty-alcohol base and several lipid/emollient signals support a balanced, moderate potential; aloe and moisture wording are not independent mechanisms.</x:v>
      </x:c>
    </x:row>
    <x:row r="8">
      <x:c r="A8" s="23" t="str">
        <x:v>952a4834-e451-4dc3-ba19-ebb8927eb5e4</x:v>
      </x:c>
      <x:c r="B8" s="23" t="str">
        <x:v>Volume Victory Conditioner</x:v>
      </x:c>
      <x:c r="C8" s="23" t="str">
        <x:v>eligible</x:v>
      </x:c>
      <x:c r="D8" s="23" t="str">
        <x:v>R1 | R2 | R3 | R5 | R6 | R8</x:v>
      </x:c>
      <x:c r="E8" s="23" t="str">
        <x:v>higher</x:v>
      </x:c>
      <x:c r="F8" s="23" t="str">
        <x:v>higher</x:v>
      </x:c>
      <x:c r="G8" s="23" t="str">
        <x:v>higher</x:v>
      </x:c>
      <x:c r="H8" s="23" t="str">
        <x:v>higher</x:v>
      </x:c>
      <x:c r="I8" s="23" t="str">
        <x:v>higher</x:v>
      </x:c>
      <x:c r="J8" s="23" t="str">
        <x:v>higher</x:v>
      </x:c>
      <x:c r="K8" s="23" t="str">
        <x:v>higher</x:v>
      </x:c>
      <x:c r="L8" s="23" t="str">
        <x:v>unknown</x:v>
      </x:c>
      <x:c r="M8" s="23" t="str">
        <x:v>indeterminate</x:v>
      </x:c>
      <x:c r="N8" s="23" t="str">
        <x:v>likely_depositing</x:v>
      </x:c>
      <x:c r="O8" s="23" t="str">
        <x:v>candidate</x:v>
      </x:c>
      <x:c r="P8" s="23" t="str">
        <x:v>candidate</x:v>
      </x:c>
      <x:c r="Q8" s="23" t="str">
        <x:v>unknown</x:v>
      </x:c>
      <x:c r="R8" s="23" t="str">
        <x:v>general_conditioning</x:v>
      </x:c>
      <x:c r="S8" s="23" t="str">
        <x:v>aromatic_or_allergen_exposure</x:v>
      </x:c>
      <x:c r="T8" s="23" t="str">
        <x:v>unknown</x:v>
      </x:c>
      <x:c r="U8" s="23" t="str">
        <x:v>Cationic base, amodimethicone, polyquaternium and peptide/film signals form a deposition-rich architecture. The volume name cannot override those formula observations, and the overlapping routes are not counted as independent technologies.</x:v>
      </x:c>
    </x:row>
    <x:row r="9">
      <x:c r="A9" s="23" t="str">
        <x:v>62ff4f08-3ff2-49f3-9e93-e6fd0f395a4d</x:v>
      </x:c>
      <x:c r="B9" s="23" t="str">
        <x:v>Frizz Ease Wunder-Reparatur Conditioner</x:v>
      </x:c>
      <x:c r="C9" s="23" t="str">
        <x:v>eligible</x:v>
      </x:c>
      <x:c r="D9" s="23" t="str">
        <x:v>R1 | R4 | R6 | R8</x:v>
      </x:c>
      <x:c r="E9" s="23" t="str">
        <x:v>higher</x:v>
      </x:c>
      <x:c r="F9" s="23" t="str">
        <x:v>higher</x:v>
      </x:c>
      <x:c r="G9" s="23" t="str">
        <x:v>higher</x:v>
      </x:c>
      <x:c r="H9" s="23" t="str">
        <x:v>higher</x:v>
      </x:c>
      <x:c r="I9" s="23" t="str">
        <x:v>higher</x:v>
      </x:c>
      <x:c r="J9" s="23" t="str">
        <x:v>moderate</x:v>
      </x:c>
      <x:c r="K9" s="23" t="str">
        <x:v>higher</x:v>
      </x:c>
      <x:c r="L9" s="23" t="str">
        <x:v>unknown</x:v>
      </x:c>
      <x:c r="M9" s="23" t="str">
        <x:v>indeterminate</x:v>
      </x:c>
      <x:c r="N9" s="23" t="str">
        <x:v>likely_depositing</x:v>
      </x:c>
      <x:c r="O9" s="23" t="str">
        <x:v>candidate</x:v>
      </x:c>
      <x:c r="P9" s="23" t="str">
        <x:v>none_visible</x:v>
      </x:c>
      <x:c r="Q9" s="23" t="str">
        <x:v>unknown</x:v>
      </x:c>
      <x:c r="R9" s="23" t="str">
        <x:v>general_conditioning</x:v>
      </x:c>
      <x:c r="S9" s="23" t="str">
        <x:v>aromatic_or_allergen_exposure</x:v>
      </x:c>
      <x:c r="T9" s="23" t="str">
        <x:v>unknown</x:v>
      </x:c>
      <x:c r="U9" s="23" t="str">
        <x:v>A strongly cationic fatty-alcohol base plus emollient ester, oils and ceramide supports high lubrication/deposition potential. Repair remains temporary protection/film potential, not structural restoration.</x:v>
      </x:c>
    </x:row>
    <x:row r="10">
      <x:c r="A10" s="23" t="str">
        <x:v>11d42d9d-b8d8-42ae-a432-9a3d0f9d3504</x:v>
      </x:c>
      <x:c r="B10" s="23" t="str">
        <x:v>Panthenol + Reparatur 2in1 Kur &amp; Spülung</x:v>
      </x:c>
      <x:c r="C10" s="23" t="str">
        <x:v>eligible</x:v>
      </x:c>
      <x:c r="D10" s="23" t="str">
        <x:v>R1 | R4 | R6 | R8</x:v>
      </x:c>
      <x:c r="E10" s="23" t="str">
        <x:v>higher</x:v>
      </x:c>
      <x:c r="F10" s="23" t="str">
        <x:v>higher</x:v>
      </x:c>
      <x:c r="G10" s="23" t="str">
        <x:v>moderate</x:v>
      </x:c>
      <x:c r="H10" s="23" t="str">
        <x:v>moderate</x:v>
      </x:c>
      <x:c r="I10" s="23" t="str">
        <x:v>moderate</x:v>
      </x:c>
      <x:c r="J10" s="23" t="str">
        <x:v>moderate</x:v>
      </x:c>
      <x:c r="K10" s="23" t="str">
        <x:v>moderate</x:v>
      </x:c>
      <x:c r="L10" s="23" t="str">
        <x:v>unknown</x:v>
      </x:c>
      <x:c r="M10" s="23" t="str">
        <x:v>indeterminate</x:v>
      </x:c>
      <x:c r="N10" s="23" t="str">
        <x:v>balanced</x:v>
      </x:c>
      <x:c r="O10" s="23" t="str">
        <x:v>candidate</x:v>
      </x:c>
      <x:c r="P10" s="23" t="str">
        <x:v>none_visible</x:v>
      </x:c>
      <x:c r="Q10" s="23" t="str">
        <x:v>unknown</x:v>
      </x:c>
      <x:c r="R10" s="23" t="str">
        <x:v>general_conditioning</x:v>
      </x:c>
      <x:c r="S10" s="23" t="str">
        <x:v>fragrance_declared</x:v>
      </x:c>
      <x:c r="T10" s="23" t="str">
        <x:v>unknown</x:v>
      </x:c>
      <x:c r="U10" s="23" t="str">
        <x:v>Behentrimonium chloride and the fatty-alcohol base support high conditioning potential even without silicone. Cetyl esters and oat oil add relubrication, but panthenol and repair wording do not prove structural repair.</x:v>
      </x:c>
    </x:row>
    <x:row r="11">
      <x:c r="A11" s="23" t="str">
        <x:v>4fca59e5-fbc4-4132-a821-dac6ff0cdb68</x:v>
      </x:c>
      <x:c r="B11" s="23" t="str">
        <x:v>Biotin &amp; Collagen Conditioner</x:v>
      </x:c>
      <x:c r="C11" s="23" t="str">
        <x:v>eligible</x:v>
      </x:c>
      <x:c r="D11" s="23" t="str">
        <x:v>R1 | R2 | R4 | R5 | R6 | R8</x:v>
      </x:c>
      <x:c r="E11" s="23" t="str">
        <x:v>higher</x:v>
      </x:c>
      <x:c r="F11" s="23" t="str">
        <x:v>higher</x:v>
      </x:c>
      <x:c r="G11" s="23" t="str">
        <x:v>higher</x:v>
      </x:c>
      <x:c r="H11" s="23" t="str">
        <x:v>higher</x:v>
      </x:c>
      <x:c r="I11" s="23" t="str">
        <x:v>higher</x:v>
      </x:c>
      <x:c r="J11" s="23" t="str">
        <x:v>higher</x:v>
      </x:c>
      <x:c r="K11" s="23" t="str">
        <x:v>higher</x:v>
      </x:c>
      <x:c r="L11" s="23" t="str">
        <x:v>unknown</x:v>
      </x:c>
      <x:c r="M11" s="23" t="str">
        <x:v>indeterminate</x:v>
      </x:c>
      <x:c r="N11" s="23" t="str">
        <x:v>likely_depositing</x:v>
      </x:c>
      <x:c r="O11" s="23" t="str">
        <x:v>candidate</x:v>
      </x:c>
      <x:c r="P11" s="23" t="str">
        <x:v>candidate</x:v>
      </x:c>
      <x:c r="Q11" s="23" t="str">
        <x:v>unknown</x:v>
      </x:c>
      <x:c r="R11" s="23" t="str">
        <x:v>general_conditioning</x:v>
      </x:c>
      <x:c r="S11" s="23" t="str">
        <x:v>fragrance_declared</x:v>
      </x:c>
      <x:c r="T11" s="23" t="str">
        <x:v>unknown</x:v>
      </x:c>
      <x:c r="U11" s="23" t="str">
        <x:v>Cationic base, dimethicone and emollients support a rich deposition/lubrication route. Hydrolyzed collagen may contribute temporary film potential; biotin/collagen naming does not imply strand thickening or structural repair.</x:v>
      </x:c>
    </x:row>
    <x:row r="12">
      <x:c r="A12" s="23" t="str">
        <x:v>d8ac8909-91a1-46b3-9fa6-2ff66b78fb66</x:v>
      </x:c>
      <x:c r="B12" s="23" t="str">
        <x:v>Conditioner Cream</x:v>
      </x:c>
      <x:c r="C12" s="23" t="str">
        <x:v>eligible</x:v>
      </x:c>
      <x:c r="D12" s="23" t="str">
        <x:v>R1 | R3 | R4 | R6 | R8</x:v>
      </x:c>
      <x:c r="E12" s="23" t="str">
        <x:v>higher</x:v>
      </x:c>
      <x:c r="F12" s="23" t="str">
        <x:v>higher</x:v>
      </x:c>
      <x:c r="G12" s="23" t="str">
        <x:v>higher</x:v>
      </x:c>
      <x:c r="H12" s="23" t="str">
        <x:v>higher</x:v>
      </x:c>
      <x:c r="I12" s="23" t="str">
        <x:v>higher</x:v>
      </x:c>
      <x:c r="J12" s="23" t="str">
        <x:v>moderate</x:v>
      </x:c>
      <x:c r="K12" s="23" t="str">
        <x:v>higher</x:v>
      </x:c>
      <x:c r="L12" s="23" t="str">
        <x:v>unknown</x:v>
      </x:c>
      <x:c r="M12" s="23" t="str">
        <x:v>indeterminate</x:v>
      </x:c>
      <x:c r="N12" s="23" t="str">
        <x:v>likely_depositing</x:v>
      </x:c>
      <x:c r="O12" s="23" t="str">
        <x:v>candidate</x:v>
      </x:c>
      <x:c r="P12" s="23" t="str">
        <x:v>candidate</x:v>
      </x:c>
      <x:c r="Q12" s="23" t="str">
        <x:v>unknown</x:v>
      </x:c>
      <x:c r="R12" s="23" t="str">
        <x:v>general_conditioning</x:v>
      </x:c>
      <x:c r="S12" s="23" t="str">
        <x:v>aromatic_or_allergen_exposure</x:v>
      </x:c>
      <x:c r="T12" s="23" t="str">
        <x:v>unknown</x:v>
      </x:c>
      <x:c r="U12" s="23" t="str">
        <x:v>Fatty alcohols, amidoamine, shea butter and two polymer/film signals support rich deposition and lubrication potential. Vitamins do not create separate repair mechanisms.</x:v>
      </x:c>
    </x:row>
    <x:row r="13">
      <x:c r="A13" s="23" t="str">
        <x:v>4f67cb6d-4b28-490b-9817-e8fc8e91b010</x:v>
      </x:c>
      <x:c r="B13" s="23" t="str">
        <x:v>Colorglow Granatapfel Rose Conditioner</x:v>
      </x:c>
      <x:c r="C13" s="23" t="str">
        <x:v>eligible</x:v>
      </x:c>
      <x:c r="D13" s="23" t="str">
        <x:v>R1 | R4 | R6 | R8</x:v>
      </x:c>
      <x:c r="E13" s="23" t="str">
        <x:v>higher</x:v>
      </x:c>
      <x:c r="F13" s="23" t="str">
        <x:v>higher</x:v>
      </x:c>
      <x:c r="G13" s="23" t="str">
        <x:v>moderate</x:v>
      </x:c>
      <x:c r="H13" s="23" t="str">
        <x:v>moderate</x:v>
      </x:c>
      <x:c r="I13" s="23" t="str">
        <x:v>moderate</x:v>
      </x:c>
      <x:c r="J13" s="23" t="str">
        <x:v>moderate</x:v>
      </x:c>
      <x:c r="K13" s="23" t="str">
        <x:v>moderate</x:v>
      </x:c>
      <x:c r="L13" s="23" t="str">
        <x:v>unknown</x:v>
      </x:c>
      <x:c r="M13" s="23" t="str">
        <x:v>indeterminate</x:v>
      </x:c>
      <x:c r="N13" s="23" t="str">
        <x:v>balanced</x:v>
      </x:c>
      <x:c r="O13" s="23" t="str">
        <x:v>candidate</x:v>
      </x:c>
      <x:c r="P13" s="23" t="str">
        <x:v>none_visible</x:v>
      </x:c>
      <x:c r="Q13" s="23" t="str">
        <x:v>unknown</x:v>
      </x:c>
      <x:c r="R13" s="23" t="str">
        <x:v>candidate</x:v>
      </x:c>
      <x:c r="S13" s="23" t="str">
        <x:v>fragrance_declared</x:v>
      </x:c>
      <x:c r="T13" s="23" t="str">
        <x:v>unknown</x:v>
      </x:c>
      <x:c r="U13" s="23" t="str">
        <x:v>Multiple cationic surfactants support strong conditioning potential; benzophenone-4 makes color/UV protection a candidate only. Acid presence cannot establish finished-product pH or anti-fade performance.</x:v>
      </x:c>
    </x:row>
    <x:row r="14">
      <x:c r="A14" s="23" t="str">
        <x:v>8182ee3f-cfe9-4a31-8b2f-a6a52c7e7abe</x:v>
      </x:c>
      <x:c r="B14" s="23" t="str">
        <x:v>Moisturising Conditioner Reisegröße</x:v>
      </x:c>
      <x:c r="C14" s="23" t="str">
        <x:v>eligible</x:v>
      </x:c>
      <x:c r="D14" s="23" t="str">
        <x:v>R4 | R6 | R8</x:v>
      </x:c>
      <x:c r="E14" s="23" t="str">
        <x:v>moderate</x:v>
      </x:c>
      <x:c r="F14" s="23" t="str">
        <x:v>moderate</x:v>
      </x:c>
      <x:c r="G14" s="23" t="str">
        <x:v>moderate</x:v>
      </x:c>
      <x:c r="H14" s="23" t="str">
        <x:v>moderate</x:v>
      </x:c>
      <x:c r="I14" s="23" t="str">
        <x:v>moderate</x:v>
      </x:c>
      <x:c r="J14" s="23" t="str">
        <x:v>moderate</x:v>
      </x:c>
      <x:c r="K14" s="23" t="str">
        <x:v>higher</x:v>
      </x:c>
      <x:c r="L14" s="23" t="str">
        <x:v>unknown</x:v>
      </x:c>
      <x:c r="M14" s="23" t="str">
        <x:v>indeterminate</x:v>
      </x:c>
      <x:c r="N14" s="23" t="str">
        <x:v>likely_depositing</x:v>
      </x:c>
      <x:c r="O14" s="23" t="str">
        <x:v>candidate</x:v>
      </x:c>
      <x:c r="P14" s="23" t="str">
        <x:v>none_visible</x:v>
      </x:c>
      <x:c r="Q14" s="23" t="str">
        <x:v>unknown</x:v>
      </x:c>
      <x:c r="R14" s="23" t="str">
        <x:v>general_conditioning</x:v>
      </x:c>
      <x:c r="S14" s="23" t="str">
        <x:v>aromatic_or_allergen_exposure</x:v>
      </x:c>
      <x:c r="T14" s="23" t="str">
        <x:v>unknown</x:v>
      </x:c>
      <x:c r="U14" s="23" t="str">
        <x:v>The manufacturer formula, confirmed for EAN 4262391991626 by an exact-product retailer, contains a conventional cationic/fatty-alcohol base, cationic guar, several oils and butter. This supports high conditioning, slip, smoothing and weight potential; formula-only evidence still does not prove finished-product sensory performance, rinse behavior or structural repair.</x:v>
      </x:c>
    </x:row>
    <x:row r="15">
      <x:c r="A15" s="23" t="str">
        <x:v>9f8da740-87b6-45e0-ab86-d77d63f2e22b</x:v>
      </x:c>
      <x:c r="B15" s="23" t="str">
        <x:v>Bond+ Reparatur Spülung</x:v>
      </x:c>
      <x:c r="C15" s="23" t="str">
        <x:v>eligible</x:v>
      </x:c>
      <x:c r="D15" s="23" t="str">
        <x:v>R1 | R4 | R6 | R7 | R8</x:v>
      </x:c>
      <x:c r="E15" s="23" t="str">
        <x:v>higher</x:v>
      </x:c>
      <x:c r="F15" s="23" t="str">
        <x:v>higher</x:v>
      </x:c>
      <x:c r="G15" s="23" t="str">
        <x:v>moderate</x:v>
      </x:c>
      <x:c r="H15" s="23" t="str">
        <x:v>moderate</x:v>
      </x:c>
      <x:c r="I15" s="23" t="str">
        <x:v>moderate</x:v>
      </x:c>
      <x:c r="J15" s="23" t="str">
        <x:v>moderate</x:v>
      </x:c>
      <x:c r="K15" s="23" t="str">
        <x:v>moderate</x:v>
      </x:c>
      <x:c r="L15" s="23" t="str">
        <x:v>unknown</x:v>
      </x:c>
      <x:c r="M15" s="23" t="str">
        <x:v>indeterminate</x:v>
      </x:c>
      <x:c r="N15" s="23" t="str">
        <x:v>balanced</x:v>
      </x:c>
      <x:c r="O15" s="23" t="str">
        <x:v>candidate</x:v>
      </x:c>
      <x:c r="P15" s="23" t="str">
        <x:v>none_visible</x:v>
      </x:c>
      <x:c r="Q15" s="23" t="str">
        <x:v>chemistry_candidate</x:v>
      </x:c>
      <x:c r="R15" s="23" t="str">
        <x:v>general_conditioning</x:v>
      </x:c>
      <x:c r="S15" s="23" t="str">
        <x:v>fragrance_declared</x:v>
      </x:c>
      <x:c r="T15" s="23" t="str">
        <x:v>unknown</x:v>
      </x:c>
      <x:c r="U15" s="23" t="str">
        <x:v>The cationic base supports conditioning; hydroxypropylgluconamide/hydroxypropylammonium gluconate provide a distinct bond-claim chemistry candidate. Exact finished-product substantiation is still required before product-tested status.</x:v>
      </x:c>
    </x:row>
    <x:row r="16">
      <x:c r="A16" s="24" t="str">
        <x:v>7539ab79-f4f6-49d7-9269-08034ef4de96</x:v>
      </x:c>
      <x:c r="B16" s="24" t="str">
        <x:v>Leave-In Repair Cream</x:v>
      </x:c>
      <x:c r="C16" s="24" t="str">
        <x:v>excluded_product_form</x:v>
      </x:c>
      <x:c r="D16" s="24" t="str"/>
      <x:c r="E16" s="24" t="str"/>
      <x:c r="F16" s="24" t="str"/>
      <x:c r="G16" s="24" t="str"/>
      <x:c r="H16" s="24" t="str"/>
      <x:c r="I16" s="24" t="str"/>
      <x:c r="J16" s="24" t="str"/>
      <x:c r="K16" s="24" t="str"/>
      <x:c r="L16" s="24" t="str"/>
      <x:c r="M16" s="24" t="str"/>
      <x:c r="N16" s="24" t="str"/>
      <x:c r="O16" s="24" t="str"/>
      <x:c r="P16" s="24" t="str"/>
      <x:c r="Q16" s="24" t="str"/>
      <x:c r="R16" s="24" t="str"/>
      <x:c r="S16" s="24" t="str"/>
      <x:c r="T16" s="24" t="str"/>
      <x:c r="U16" s="24" t="str">
        <x:v>Authoritative directions identify a leave-in product. Gate G0 excludes it before Conditioner direct-property classification.</x:v>
      </x:c>
    </x:row>
  </x:sheetData>
  <x:mergeCells>
    <x:mergeCell ref="A1:U1"/>
    <x:mergeCell ref="A2:U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26"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70" hidden="0" customWidth="1"/>
  </x:cols>
  <x:sheetData>
    <x:row r="1">
      <x:c r="A1" s="3" t="str">
        <x:v>Reviewer C blind classification</x:v>
      </x:c>
      <x:c r="B1" s="3"/>
      <x:c r="C1" s="3"/>
      <x:c r="D1" s="3"/>
      <x:c r="E1" s="3"/>
      <x:c r="F1" s="3"/>
      <x:c r="G1" s="3"/>
      <x:c r="H1" s="3"/>
      <x:c r="I1" s="3"/>
      <x:c r="J1" s="3"/>
      <x:c r="K1" s="3"/>
      <x:c r="L1" s="3"/>
      <x:c r="M1" s="3"/>
      <x:c r="N1" s="3"/>
      <x:c r="O1" s="3"/>
      <x:c r="P1" s="3"/>
      <x:c r="Q1" s="3"/>
      <x:c r="R1" s="3"/>
      <x:c r="S1" s="3"/>
      <x:c r="T1" s="3"/>
      <x:c r="U1" s="3"/>
    </x:row>
    <x:row r="2">
      <x:c r="A2" s="6" t="str">
        <x:v>Independent clean-room classification from the frozen standard and locked formula packet; zero inherited key context.</x:v>
      </x:c>
      <x:c r="B2" s="6"/>
      <x:c r="C2" s="6"/>
      <x:c r="D2" s="6"/>
      <x:c r="E2" s="6"/>
      <x:c r="F2" s="6"/>
      <x:c r="G2" s="6"/>
      <x:c r="H2" s="6"/>
      <x:c r="I2" s="6"/>
      <x:c r="J2" s="6"/>
      <x:c r="K2" s="6"/>
      <x:c r="L2" s="6"/>
      <x:c r="M2" s="6"/>
      <x:c r="N2" s="6"/>
      <x:c r="O2" s="6"/>
      <x:c r="P2" s="6"/>
      <x:c r="Q2" s="6"/>
      <x:c r="R2" s="6"/>
      <x:c r="S2" s="6"/>
      <x:c r="T2" s="6"/>
      <x:c r="U2" s="6"/>
    </x:row>
    <x:row r="4">
      <x:c r="A4" s="13" t="str">
        <x:v>product_id</x:v>
      </x:c>
      <x:c r="B4" s="55" t="str">
        <x:v>exact_name</x:v>
      </x:c>
      <x:c r="C4" s="55" t="str">
        <x:v>boundary</x:v>
      </x:c>
      <x:c r="D4" s="55" t="str">
        <x:v>routes</x:v>
      </x:c>
      <x:c r="E4" s="55" t="str">
        <x:v>conditioning_deposition_potential</x:v>
      </x:c>
      <x:c r="F4" s="55" t="str">
        <x:v>wet_slip_detangling_potential</x:v>
      </x:c>
      <x:c r="G4" s="55" t="str">
        <x:v>dry_combability_potential</x:v>
      </x:c>
      <x:c r="H4" s="55" t="str">
        <x:v>surface_lubrication_softness_potential</x:v>
      </x:c>
      <x:c r="I4" s="55" t="str">
        <x:v>smoothing_frizz_control_potential</x:v>
      </x:c>
      <x:c r="J4" s="55" t="str">
        <x:v>shine_potential</x:v>
      </x:c>
      <x:c r="K4" s="55" t="str">
        <x:v>weight_deposition_potential</x:v>
      </x:c>
      <x:c r="L4" s="55" t="str">
        <x:v>rinse_behavior</x:v>
      </x:c>
      <x:c r="M4" s="55" t="str">
        <x:v>cumulative_residue_risk</x:v>
      </x:c>
      <x:c r="N4" s="55" t="str">
        <x:v>body_lightness_potential</x:v>
      </x:c>
      <x:c r="O4" s="55" t="str">
        <x:v>repair_lubrication_protection</x:v>
      </x:c>
      <x:c r="P4" s="55" t="str">
        <x:v>repair_surface_film</x:v>
      </x:c>
      <x:c r="Q4" s="55" t="str">
        <x:v>bond_specific_support</x:v>
      </x:c>
      <x:c r="R4" s="55" t="str">
        <x:v>color_chemical_damage_protection</x:v>
      </x:c>
      <x:c r="S4" s="55" t="str">
        <x:v>fragrance_scalp_exposure</x:v>
      </x:c>
      <x:c r="T4" s="55" t="str">
        <x:v>usage_role</x:v>
      </x:c>
      <x:c r="U4" s="14" t="str">
        <x:v>rationale</x:v>
      </x:c>
    </x:row>
    <x:row r="5">
      <x:c r="A5" s="22" t="str">
        <x:v>483b41d6-632c-4efe-9bcc-488c80bf5bb7</x:v>
      </x:c>
      <x:c r="B5" s="22" t="str">
        <x:v>Balea Med Ultra Sensitive Conditioner</x:v>
      </x:c>
      <x:c r="C5" s="22" t="str">
        <x:v>eligible</x:v>
      </x:c>
      <x:c r="D5" s="22" t="str">
        <x:v>R1 | R3 | R4 | R6 | R8</x:v>
      </x:c>
      <x:c r="E5" s="22" t="str">
        <x:v>moderate</x:v>
      </x:c>
      <x:c r="F5" s="22" t="str">
        <x:v>moderate</x:v>
      </x:c>
      <x:c r="G5" s="22" t="str">
        <x:v>moderate</x:v>
      </x:c>
      <x:c r="H5" s="22" t="str">
        <x:v>moderate</x:v>
      </x:c>
      <x:c r="I5" s="22" t="str">
        <x:v>moderate</x:v>
      </x:c>
      <x:c r="J5" s="22" t="str">
        <x:v>moderate</x:v>
      </x:c>
      <x:c r="K5" s="22" t="str">
        <x:v>moderate</x:v>
      </x:c>
      <x:c r="L5" s="22" t="str">
        <x:v>unknown</x:v>
      </x:c>
      <x:c r="M5" s="22" t="str">
        <x:v>indeterminate</x:v>
      </x:c>
      <x:c r="N5" s="22" t="str">
        <x:v>balanced</x:v>
      </x:c>
      <x:c r="O5" s="22" t="str">
        <x:v>candidate</x:v>
      </x:c>
      <x:c r="P5" s="22" t="str">
        <x:v>none_visible</x:v>
      </x:c>
      <x:c r="Q5" s="22" t="str">
        <x:v>unknown</x:v>
      </x:c>
      <x:c r="R5" s="22" t="str">
        <x:v>general_conditioning</x:v>
      </x:c>
      <x:c r="S5" s="22" t="str">
        <x:v>no_listed_fragrance_signal</x:v>
      </x:c>
      <x:c r="T5" s="22" t="str">
        <x:v>unknown</x:v>
      </x:c>
      <x:c r="U5" s="22" t="str">
        <x:v>Eligible rinse-out formula with cetyl alcohol plus cetrimonium chloride, cationic guar, light emollients, and citric acid supports conventional conditioning and lubrication potential, but no finished-product rinse or buildup evidence.</x:v>
      </x:c>
    </x:row>
    <x:row r="6">
      <x:c r="A6" s="23" t="str">
        <x:v>a6730d6f-df2f-4ebf-8013-eb39162f15df</x:v>
      </x:c>
      <x:c r="B6" s="23" t="str">
        <x:v>Balea Professional Aqua Hyaluron Conditioner</x:v>
      </x:c>
      <x:c r="C6" s="23" t="str">
        <x:v>eligible</x:v>
      </x:c>
      <x:c r="D6" s="23" t="str">
        <x:v>R1 | R6 | R8</x:v>
      </x:c>
      <x:c r="E6" s="23" t="str">
        <x:v>moderate</x:v>
      </x:c>
      <x:c r="F6" s="23" t="str">
        <x:v>moderate</x:v>
      </x:c>
      <x:c r="G6" s="23" t="str">
        <x:v>moderate</x:v>
      </x:c>
      <x:c r="H6" s="23" t="str">
        <x:v>moderate</x:v>
      </x:c>
      <x:c r="I6" s="23" t="str">
        <x:v>moderate</x:v>
      </x:c>
      <x:c r="J6" s="23" t="str">
        <x:v>lower</x:v>
      </x:c>
      <x:c r="K6" s="23" t="str">
        <x:v>lower</x:v>
      </x:c>
      <x:c r="L6" s="23" t="str">
        <x:v>unknown</x:v>
      </x:c>
      <x:c r="M6" s="23" t="str">
        <x:v>indeterminate</x:v>
      </x:c>
      <x:c r="N6" s="23" t="str">
        <x:v>likely_preserving</x:v>
      </x:c>
      <x:c r="O6" s="23" t="str">
        <x:v>candidate</x:v>
      </x:c>
      <x:c r="P6" s="23" t="str">
        <x:v>none_visible</x:v>
      </x:c>
      <x:c r="Q6" s="23" t="str">
        <x:v>unknown</x:v>
      </x:c>
      <x:c r="R6" s="23" t="str">
        <x:v>general_conditioning</x:v>
      </x:c>
      <x:c r="S6" s="23" t="str">
        <x:v>fragrance_declared</x:v>
      </x:c>
      <x:c r="T6" s="23" t="str">
        <x:v>unknown</x:v>
      </x:c>
      <x:c r="U6" s="23" t="str">
        <x:v>Cetearyl alcohol with stearamidopropyl dimethylamine and lactic acid supports a basic cationic conditioning-base pattern; absence of clear silicone, cationic polymer, or lipid route keeps weight and shine potential restrained.</x:v>
      </x:c>
    </x:row>
    <x:row r="7">
      <x:c r="A7" s="23" t="str">
        <x:v>5516009a-eecb-42dd-87f6-07c560161136</x:v>
      </x:c>
      <x:c r="B7" s="23" t="str">
        <x:v>Hair Food Aloe Vera Feuchtigkeits-Spülung</x:v>
      </x:c>
      <x:c r="C7" s="23" t="str">
        <x:v>eligible</x:v>
      </x:c>
      <x:c r="D7" s="23" t="str">
        <x:v>R1 | R4 | R5 | R6 | R8</x:v>
      </x:c>
      <x:c r="E7" s="23" t="str">
        <x:v>higher</x:v>
      </x:c>
      <x:c r="F7" s="23" t="str">
        <x:v>higher</x:v>
      </x:c>
      <x:c r="G7" s="23" t="str">
        <x:v>moderate</x:v>
      </x:c>
      <x:c r="H7" s="23" t="str">
        <x:v>higher</x:v>
      </x:c>
      <x:c r="I7" s="23" t="str">
        <x:v>moderate</x:v>
      </x:c>
      <x:c r="J7" s="23" t="str">
        <x:v>moderate</x:v>
      </x:c>
      <x:c r="K7" s="23" t="str">
        <x:v>higher</x:v>
      </x:c>
      <x:c r="L7" s="23" t="str">
        <x:v>unknown</x:v>
      </x:c>
      <x:c r="M7" s="23" t="str">
        <x:v>indeterminate</x:v>
      </x:c>
      <x:c r="N7" s="23" t="str">
        <x:v>likely_depositing</x:v>
      </x:c>
      <x:c r="O7" s="23" t="str">
        <x:v>candidate</x:v>
      </x:c>
      <x:c r="P7" s="23" t="str">
        <x:v>candidate</x:v>
      </x:c>
      <x:c r="Q7" s="23" t="str">
        <x:v>unknown</x:v>
      </x:c>
      <x:c r="R7" s="23" t="str">
        <x:v>general_conditioning</x:v>
      </x:c>
      <x:c r="S7" s="23" t="str">
        <x:v>aromatic_or_allergen_exposure</x:v>
      </x:c>
      <x:c r="T7" s="23" t="str">
        <x:v>unknown</x:v>
      </x:c>
      <x:c r="U7" s="23" t="str">
        <x:v>Amidoamine/fatty-alcohol conditioning appears alongside sunflower and coconut oils, esters, guar film support, acids, parfum, and allergens; this raises conditioning and weight potential without proving rinse feel or buildup.</x:v>
      </x:c>
    </x:row>
    <x:row r="8">
      <x:c r="A8" s="23" t="str">
        <x:v>952a4834-e451-4dc3-ba19-ebb8927eb5e4</x:v>
      </x:c>
      <x:c r="B8" s="23" t="str">
        <x:v>Volume Victory Conditioner</x:v>
      </x:c>
      <x:c r="C8" s="23" t="str">
        <x:v>eligible</x:v>
      </x:c>
      <x:c r="D8" s="23" t="str">
        <x:v>R1 | R2 | R3 | R4 | R5 | R6 | R8</x:v>
      </x:c>
      <x:c r="E8" s="23" t="str">
        <x:v>higher</x:v>
      </x:c>
      <x:c r="F8" s="23" t="str">
        <x:v>higher</x:v>
      </x:c>
      <x:c r="G8" s="23" t="str">
        <x:v>higher</x:v>
      </x:c>
      <x:c r="H8" s="23" t="str">
        <x:v>higher</x:v>
      </x:c>
      <x:c r="I8" s="23" t="str">
        <x:v>higher</x:v>
      </x:c>
      <x:c r="J8" s="23" t="str">
        <x:v>higher</x:v>
      </x:c>
      <x:c r="K8" s="23" t="str">
        <x:v>higher</x:v>
      </x:c>
      <x:c r="L8" s="23" t="str">
        <x:v>unknown</x:v>
      </x:c>
      <x:c r="M8" s="23" t="str">
        <x:v>indeterminate</x:v>
      </x:c>
      <x:c r="N8" s="23" t="str">
        <x:v>likely_depositing</x:v>
      </x:c>
      <x:c r="O8" s="23" t="str">
        <x:v>candidate</x:v>
      </x:c>
      <x:c r="P8" s="23" t="str">
        <x:v>candidate</x:v>
      </x:c>
      <x:c r="Q8" s="23" t="str">
        <x:v>unknown</x:v>
      </x:c>
      <x:c r="R8" s="23" t="str">
        <x:v>general_conditioning</x:v>
      </x:c>
      <x:c r="S8" s="23" t="str">
        <x:v>aromatic_or_allergen_exposure</x:v>
      </x:c>
      <x:c r="T8" s="23" t="str">
        <x:v>unknown</x:v>
      </x:c>
      <x:c r="U8" s="23" t="str">
        <x:v>Multiple independent routes are present: fatty alcohol/cetrimonium base, amodimethicone, Polyquaternium-11, emollients, oat peptide, optical mineral signals, acid, parfum, essential oils, and allergens; the volume name does not override the rich architecture.</x:v>
      </x:c>
    </x:row>
    <x:row r="9">
      <x:c r="A9" s="23" t="str">
        <x:v>62ff4f08-3ff2-49f3-9e93-e6fd0f395a4d</x:v>
      </x:c>
      <x:c r="B9" s="23" t="str">
        <x:v>Frizz Ease Wunder-Reparatur Conditioner</x:v>
      </x:c>
      <x:c r="C9" s="23" t="str">
        <x:v>eligible</x:v>
      </x:c>
      <x:c r="D9" s="23" t="str">
        <x:v>R1 | R4 | R6 | R8</x:v>
      </x:c>
      <x:c r="E9" s="23" t="str">
        <x:v>higher</x:v>
      </x:c>
      <x:c r="F9" s="23" t="str">
        <x:v>higher</x:v>
      </x:c>
      <x:c r="G9" s="23" t="str">
        <x:v>higher</x:v>
      </x:c>
      <x:c r="H9" s="23" t="str">
        <x:v>higher</x:v>
      </x:c>
      <x:c r="I9" s="23" t="str">
        <x:v>higher</x:v>
      </x:c>
      <x:c r="J9" s="23" t="str">
        <x:v>moderate</x:v>
      </x:c>
      <x:c r="K9" s="23" t="str">
        <x:v>higher</x:v>
      </x:c>
      <x:c r="L9" s="23" t="str">
        <x:v>unknown</x:v>
      </x:c>
      <x:c r="M9" s="23" t="str">
        <x:v>indeterminate</x:v>
      </x:c>
      <x:c r="N9" s="23" t="str">
        <x:v>likely_depositing</x:v>
      </x:c>
      <x:c r="O9" s="23" t="str">
        <x:v>candidate</x:v>
      </x:c>
      <x:c r="P9" s="23" t="str">
        <x:v>none_visible</x:v>
      </x:c>
      <x:c r="Q9" s="23" t="str">
        <x:v>claim_only</x:v>
      </x:c>
      <x:c r="R9" s="23" t="str">
        <x:v>general_conditioning</x:v>
      </x:c>
      <x:c r="S9" s="23" t="str">
        <x:v>aromatic_or_allergen_exposure</x:v>
      </x:c>
      <x:c r="T9" s="23" t="str">
        <x:v>unknown</x:v>
      </x:c>
      <x:c r="U9" s="23" t="str">
        <x:v>Cetearyl alcohol with behentrimonium chloride, another cationic surfactant, esters, oils, ceramide, chelator/acid context, fragrance, and allergen supports higher conditioning and weight potential; repair wording remains claim-only for bond support.</x:v>
      </x:c>
    </x:row>
    <x:row r="10">
      <x:c r="A10" s="23" t="str">
        <x:v>11d42d9d-b8d8-42ae-a432-9a3d0f9d3504</x:v>
      </x:c>
      <x:c r="B10" s="23" t="str">
        <x:v>Panthenol + Reparatur 2in1 Kur &amp; Spülung</x:v>
      </x:c>
      <x:c r="C10" s="23" t="str">
        <x:v>eligible</x:v>
      </x:c>
      <x:c r="D10" s="23" t="str">
        <x:v>R1 | R4 | R6 | R8</x:v>
      </x:c>
      <x:c r="E10" s="23" t="str">
        <x:v>higher</x:v>
      </x:c>
      <x:c r="F10" s="23" t="str">
        <x:v>higher</x:v>
      </x:c>
      <x:c r="G10" s="23" t="str">
        <x:v>moderate</x:v>
      </x:c>
      <x:c r="H10" s="23" t="str">
        <x:v>higher</x:v>
      </x:c>
      <x:c r="I10" s="23" t="str">
        <x:v>moderate</x:v>
      </x:c>
      <x:c r="J10" s="23" t="str">
        <x:v>moderate</x:v>
      </x:c>
      <x:c r="K10" s="23" t="str">
        <x:v>moderate</x:v>
      </x:c>
      <x:c r="L10" s="23" t="str">
        <x:v>unknown</x:v>
      </x:c>
      <x:c r="M10" s="23" t="str">
        <x:v>indeterminate</x:v>
      </x:c>
      <x:c r="N10" s="23" t="str">
        <x:v>balanced</x:v>
      </x:c>
      <x:c r="O10" s="23" t="str">
        <x:v>candidate</x:v>
      </x:c>
      <x:c r="P10" s="23" t="str">
        <x:v>none_visible</x:v>
      </x:c>
      <x:c r="Q10" s="23" t="str">
        <x:v>claim_only</x:v>
      </x:c>
      <x:c r="R10" s="23" t="str">
        <x:v>general_conditioning</x:v>
      </x:c>
      <x:c r="S10" s="23" t="str">
        <x:v>fragrance_declared</x:v>
      </x:c>
      <x:c r="T10" s="23" t="str">
        <x:v>unknown</x:v>
      </x:c>
      <x:c r="U10" s="23" t="str">
        <x:v>Eligible packet despite 2-in-1 naming; cetearyl alcohol, behentrimonium chloride, cetyl esters, panthenol, chelator/lactic acid, oat oil, parfum, and vanillin support strong conventional conditioning but not bond-specific repair.</x:v>
      </x:c>
    </x:row>
    <x:row r="11">
      <x:c r="A11" s="23" t="str">
        <x:v>4fca59e5-fbc4-4132-a821-dac6ff0cdb68</x:v>
      </x:c>
      <x:c r="B11" s="23" t="str">
        <x:v>Biotin &amp; Collagen Conditioner</x:v>
      </x:c>
      <x:c r="C11" s="23" t="str">
        <x:v>eligible</x:v>
      </x:c>
      <x:c r="D11" s="23" t="str">
        <x:v>R1 | R2 | R4 | R5 | R6 | R8</x:v>
      </x:c>
      <x:c r="E11" s="23" t="str">
        <x:v>higher</x:v>
      </x:c>
      <x:c r="F11" s="23" t="str">
        <x:v>higher</x:v>
      </x:c>
      <x:c r="G11" s="23" t="str">
        <x:v>higher</x:v>
      </x:c>
      <x:c r="H11" s="23" t="str">
        <x:v>higher</x:v>
      </x:c>
      <x:c r="I11" s="23" t="str">
        <x:v>higher</x:v>
      </x:c>
      <x:c r="J11" s="23" t="str">
        <x:v>higher</x:v>
      </x:c>
      <x:c r="K11" s="23" t="str">
        <x:v>higher</x:v>
      </x:c>
      <x:c r="L11" s="23" t="str">
        <x:v>unknown</x:v>
      </x:c>
      <x:c r="M11" s="23" t="str">
        <x:v>indeterminate</x:v>
      </x:c>
      <x:c r="N11" s="23" t="str">
        <x:v>likely_depositing</x:v>
      </x:c>
      <x:c r="O11" s="23" t="str">
        <x:v>candidate</x:v>
      </x:c>
      <x:c r="P11" s="23" t="str">
        <x:v>candidate</x:v>
      </x:c>
      <x:c r="Q11" s="23" t="str">
        <x:v>unknown</x:v>
      </x:c>
      <x:c r="R11" s="23" t="str">
        <x:v>general_conditioning</x:v>
      </x:c>
      <x:c r="S11" s="23" t="str">
        <x:v>fragrance_declared</x:v>
      </x:c>
      <x:c r="T11" s="23" t="str">
        <x:v>unknown</x:v>
      </x:c>
      <x:c r="U11" s="23" t="str">
        <x:v>Behentrimonium/fatty-alcohol base plus dimethicone, amidoamine, emollient esters, hydrolyzed collagen, acid, and parfum create several coherent conditioning and film/lubrication routes; formula alone cannot prove buildup or repair efficacy.</x:v>
      </x:c>
    </x:row>
    <x:row r="12">
      <x:c r="A12" s="23" t="str">
        <x:v>d8ac8909-91a1-46b3-9fa6-2ff66b78fb66</x:v>
      </x:c>
      <x:c r="B12" s="23" t="str">
        <x:v>Conditioner Cream</x:v>
      </x:c>
      <x:c r="C12" s="23" t="str">
        <x:v>eligible</x:v>
      </x:c>
      <x:c r="D12" s="23" t="str">
        <x:v>R1 | R3 | R4 | R5 | R6 | R8</x:v>
      </x:c>
      <x:c r="E12" s="23" t="str">
        <x:v>higher</x:v>
      </x:c>
      <x:c r="F12" s="23" t="str">
        <x:v>higher</x:v>
      </x:c>
      <x:c r="G12" s="23" t="str">
        <x:v>higher</x:v>
      </x:c>
      <x:c r="H12" s="23" t="str">
        <x:v>higher</x:v>
      </x:c>
      <x:c r="I12" s="23" t="str">
        <x:v>higher</x:v>
      </x:c>
      <x:c r="J12" s="23" t="str">
        <x:v>moderate</x:v>
      </x:c>
      <x:c r="K12" s="23" t="str">
        <x:v>higher</x:v>
      </x:c>
      <x:c r="L12" s="23" t="str">
        <x:v>unknown</x:v>
      </x:c>
      <x:c r="M12" s="23" t="str">
        <x:v>indeterminate</x:v>
      </x:c>
      <x:c r="N12" s="23" t="str">
        <x:v>likely_depositing</x:v>
      </x:c>
      <x:c r="O12" s="23" t="str">
        <x:v>candidate</x:v>
      </x:c>
      <x:c r="P12" s="23" t="str">
        <x:v>candidate</x:v>
      </x:c>
      <x:c r="Q12" s="23" t="str">
        <x:v>unknown</x:v>
      </x:c>
      <x:c r="R12" s="23" t="str">
        <x:v>general_conditioning</x:v>
      </x:c>
      <x:c r="S12" s="23" t="str">
        <x:v>aromatic_or_allergen_exposure</x:v>
      </x:c>
      <x:c r="T12" s="23" t="str">
        <x:v>unknown</x:v>
      </x:c>
      <x:c r="U12" s="23" t="str">
        <x:v>Stearyl/cetyl alcohols, shea butter, amidoamine, esters/hydrocarbon, Polyquaternium-7, Polyester-11, acids/EDTA, parfum, and allergen signal a rich non-silicone conditioning and film architecture.</x:v>
      </x:c>
    </x:row>
    <x:row r="13">
      <x:c r="A13" s="23" t="str">
        <x:v>4f67cb6d-4b28-490b-9817-e8fc8e91b010</x:v>
      </x:c>
      <x:c r="B13" s="23" t="str">
        <x:v>Colorglow Granatapfel Rose Conditioner</x:v>
      </x:c>
      <x:c r="C13" s="23" t="str">
        <x:v>eligible</x:v>
      </x:c>
      <x:c r="D13" s="23" t="str">
        <x:v>R1 | R4 | R6 | R8</x:v>
      </x:c>
      <x:c r="E13" s="23" t="str">
        <x:v>higher</x:v>
      </x:c>
      <x:c r="F13" s="23" t="str">
        <x:v>higher</x:v>
      </x:c>
      <x:c r="G13" s="23" t="str">
        <x:v>moderate</x:v>
      </x:c>
      <x:c r="H13" s="23" t="str">
        <x:v>higher</x:v>
      </x:c>
      <x:c r="I13" s="23" t="str">
        <x:v>higher</x:v>
      </x:c>
      <x:c r="J13" s="23" t="str">
        <x:v>higher</x:v>
      </x:c>
      <x:c r="K13" s="23" t="str">
        <x:v>higher</x:v>
      </x:c>
      <x:c r="L13" s="23" t="str">
        <x:v>unknown</x:v>
      </x:c>
      <x:c r="M13" s="23" t="str">
        <x:v>indeterminate</x:v>
      </x:c>
      <x:c r="N13" s="23" t="str">
        <x:v>likely_depositing</x:v>
      </x:c>
      <x:c r="O13" s="23" t="str">
        <x:v>candidate</x:v>
      </x:c>
      <x:c r="P13" s="23" t="str">
        <x:v>none_visible</x:v>
      </x:c>
      <x:c r="Q13" s="23" t="str">
        <x:v>unknown</x:v>
      </x:c>
      <x:c r="R13" s="23" t="str">
        <x:v>candidate</x:v>
      </x:c>
      <x:c r="S13" s="23" t="str">
        <x:v>fragrance_declared</x:v>
      </x:c>
      <x:c r="T13" s="23" t="str">
        <x:v>unknown</x:v>
      </x:c>
      <x:c r="U13" s="23" t="str">
        <x:v>Cetearyl alcohol with distearoylethyl methosulfate, behentrimonium/cetrimonium chlorides, dicaprylyl ether, sunflower oil, acid context, benzophenone-4, and parfum supports higher conditioning and color-care candidate potential without anti-fade proof.</x:v>
      </x:c>
    </x:row>
    <x:row r="14">
      <x:c r="A14" s="23" t="str">
        <x:v>8182ee3f-cfe9-4a31-8b2f-a6a52c7e7abe</x:v>
      </x:c>
      <x:c r="B14" s="23" t="str">
        <x:v>Moisturising Conditioner Reisegröße</x:v>
      </x:c>
      <x:c r="C14" s="23" t="str">
        <x:v>eligible</x:v>
      </x:c>
      <x:c r="D14" s="23" t="str">
        <x:v>R4 | R5 | R6 | R8</x:v>
      </x:c>
      <x:c r="E14" s="23" t="str">
        <x:v>moderate</x:v>
      </x:c>
      <x:c r="F14" s="23" t="str">
        <x:v>moderate</x:v>
      </x:c>
      <x:c r="G14" s="23" t="str">
        <x:v>moderate</x:v>
      </x:c>
      <x:c r="H14" s="23" t="str">
        <x:v>moderate</x:v>
      </x:c>
      <x:c r="I14" s="23" t="str">
        <x:v>moderate</x:v>
      </x:c>
      <x:c r="J14" s="23" t="str">
        <x:v>moderate</x:v>
      </x:c>
      <x:c r="K14" s="23" t="str">
        <x:v>higher</x:v>
      </x:c>
      <x:c r="L14" s="23" t="str">
        <x:v>unknown</x:v>
      </x:c>
      <x:c r="M14" s="23" t="str">
        <x:v>indeterminate</x:v>
      </x:c>
      <x:c r="N14" s="23" t="str">
        <x:v>likely_depositing</x:v>
      </x:c>
      <x:c r="O14" s="23" t="str">
        <x:v>candidate</x:v>
      </x:c>
      <x:c r="P14" s="23" t="str">
        <x:v>candidate</x:v>
      </x:c>
      <x:c r="Q14" s="23" t="str">
        <x:v>unknown</x:v>
      </x:c>
      <x:c r="R14" s="23" t="str">
        <x:v>general_conditioning</x:v>
      </x:c>
      <x:c r="S14" s="23" t="str">
        <x:v>aromatic_or_allergen_exposure</x:v>
      </x:c>
      <x:c r="T14" s="23" t="str">
        <x:v>unknown</x:v>
      </x:c>
      <x:c r="U14" s="23" t="str">
        <x:v>No clear long-chain cationic quat or amidoamine base is visible, but fatty alcohols, shea butter, coconut oil, starch/gum film-support signals, lactic acid, parfum, allergens, and aromatic extract support emollient-rich conditioning with higher weight potential.</x:v>
      </x:c>
    </x:row>
    <x:row r="15">
      <x:c r="A15" s="23" t="str">
        <x:v>9f8da740-87b6-45e0-ab86-d77d63f2e22b</x:v>
      </x:c>
      <x:c r="B15" s="23" t="str">
        <x:v>Bond+ Reparatur Spülung</x:v>
      </x:c>
      <x:c r="C15" s="23" t="str">
        <x:v>eligible</x:v>
      </x:c>
      <x:c r="D15" s="23" t="str">
        <x:v>R1 | R4 | R5 | R6 | R7 | R8</x:v>
      </x:c>
      <x:c r="E15" s="23" t="str">
        <x:v>higher</x:v>
      </x:c>
      <x:c r="F15" s="23" t="str">
        <x:v>higher</x:v>
      </x:c>
      <x:c r="G15" s="23" t="str">
        <x:v>higher</x:v>
      </x:c>
      <x:c r="H15" s="23" t="str">
        <x:v>higher</x:v>
      </x:c>
      <x:c r="I15" s="23" t="str">
        <x:v>higher</x:v>
      </x:c>
      <x:c r="J15" s="23" t="str">
        <x:v>moderate</x:v>
      </x:c>
      <x:c r="K15" s="23" t="str">
        <x:v>higher</x:v>
      </x:c>
      <x:c r="L15" s="23" t="str">
        <x:v>unknown</x:v>
      </x:c>
      <x:c r="M15" s="23" t="str">
        <x:v>indeterminate</x:v>
      </x:c>
      <x:c r="N15" s="23" t="str">
        <x:v>likely_depositing</x:v>
      </x:c>
      <x:c r="O15" s="23" t="str">
        <x:v>candidate</x:v>
      </x:c>
      <x:c r="P15" s="23" t="str">
        <x:v>candidate</x:v>
      </x:c>
      <x:c r="Q15" s="23" t="str">
        <x:v>chemistry_candidate</x:v>
      </x:c>
      <x:c r="R15" s="23" t="str">
        <x:v>general_conditioning</x:v>
      </x:c>
      <x:c r="S15" s="23" t="str">
        <x:v>fragrance_declared</x:v>
      </x:c>
      <x:c r="T15" s="23" t="str">
        <x:v>unknown</x:v>
      </x:c>
      <x:c r="U15" s="23" t="str">
        <x:v>Cetearyl alcohol, cetrimonium chloride, behenamidopropyl dimethylamine, esters/triheptanoin, lactic acid, gluconamide/gluconate bond-claim chemistry, glycine/chondrus film-support context, and parfum support rich conditioning plus formula-only bond-chemistry candidacy.</x:v>
      </x:c>
    </x:row>
    <x:row r="16">
      <x:c r="A16" s="24" t="str">
        <x:v>7539ab79-f4f6-49d7-9269-08034ef4de96</x:v>
      </x:c>
      <x:c r="B16" s="24" t="str">
        <x:v>Leave-In Repair Cream</x:v>
      </x:c>
      <x:c r="C16" s="24" t="str">
        <x:v>excluded_product_form</x:v>
      </x:c>
      <x:c r="D16" s="24" t="str"/>
      <x:c r="E16" s="24" t="str"/>
      <x:c r="F16" s="24" t="str"/>
      <x:c r="G16" s="24" t="str"/>
      <x:c r="H16" s="24" t="str"/>
      <x:c r="I16" s="24" t="str"/>
      <x:c r="J16" s="24" t="str"/>
      <x:c r="K16" s="24" t="str"/>
      <x:c r="L16" s="24" t="str"/>
      <x:c r="M16" s="24" t="str"/>
      <x:c r="N16" s="24" t="str"/>
      <x:c r="O16" s="24" t="str"/>
      <x:c r="P16" s="24" t="str"/>
      <x:c r="Q16" s="24" t="str"/>
      <x:c r="R16" s="24" t="str"/>
      <x:c r="S16" s="24" t="str"/>
      <x:c r="T16" s="24" t="str"/>
      <x:c r="U16" s="24" t="str">
        <x:v>G0 stops classification because the packet marks the product identity and category boundary as excluded_product_form for a leave-in repair cream rather than a conventional short-contact rinse-out conditioner.</x:v>
      </x:c>
    </x:row>
  </x:sheetData>
  <x:mergeCells>
    <x:mergeCell ref="A1:U1"/>
    <x:mergeCell ref="A2:U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38" hidden="0" customWidth="1"/>
    <x:col min="4" max="4" width="22" hidden="0" customWidth="1"/>
    <x:col min="5" max="5" width="22" hidden="0" customWidth="1"/>
    <x:col min="6" max="6" width="12" hidden="0" customWidth="1"/>
    <x:col min="7" max="7" width="12" hidden="0" customWidth="1"/>
    <x:col min="8" max="8" width="12" hidden="0" customWidth="1"/>
    <x:col min="9" max="9" width="12" hidden="0" customWidth="1"/>
    <x:col min="10" max="10" width="18" hidden="0" customWidth="1"/>
    <x:col min="11" max="11" width="26" hidden="0" customWidth="1"/>
  </x:cols>
  <x:sheetData>
    <x:row r="1">
      <x:c r="A1" s="3" t="str">
        <x:v>Long-form comparison</x:v>
      </x:c>
      <x:c r="B1" s="3"/>
      <x:c r="C1" s="3"/>
      <x:c r="D1" s="3"/>
      <x:c r="E1" s="3"/>
      <x:c r="F1" s="3"/>
      <x:c r="G1" s="3"/>
      <x:c r="H1" s="3"/>
      <x:c r="I1" s="3"/>
      <x:c r="J1" s="3"/>
      <x:c r="K1" s="3"/>
    </x:row>
    <x:row r="2">
      <x:c r="A2" s="6" t="str">
        <x:v>One row per eligible product/property. Derived checks are formula-driven and auditable.</x:v>
      </x:c>
      <x:c r="B2" s="6"/>
      <x:c r="C2" s="6"/>
      <x:c r="D2" s="6"/>
      <x:c r="E2" s="6"/>
      <x:c r="F2" s="6"/>
      <x:c r="G2" s="6"/>
      <x:c r="H2" s="6"/>
      <x:c r="I2" s="6"/>
      <x:c r="J2" s="6"/>
      <x:c r="K2" s="6"/>
    </x:row>
    <x:row r="4">
      <x:c r="A4" s="13" t="str">
        <x:v>product_id</x:v>
      </x:c>
      <x:c r="B4" s="55" t="str">
        <x:v>exact_name</x:v>
      </x:c>
      <x:c r="C4" s="55" t="str">
        <x:v>property</x:v>
      </x:c>
      <x:c r="D4" s="55" t="str">
        <x:v>Reviewer A</x:v>
      </x:c>
      <x:c r="E4" s="55" t="str">
        <x:v>Reviewer C</x:v>
      </x:c>
      <x:c r="F4" s="55" t="str">
        <x:v>A score</x:v>
      </x:c>
      <x:c r="G4" s="55" t="str">
        <x:v>C score</x:v>
      </x:c>
      <x:c r="H4" s="55" t="str">
        <x:v>exact</x:v>
      </x:c>
      <x:c r="I4" s="55" t="str">
        <x:v>adjacent</x:v>
      </x:c>
      <x:c r="J4" s="55" t="str">
        <x:v>absolute difference</x:v>
      </x:c>
      <x:c r="K4" s="14" t="str">
        <x:v>difference class</x:v>
      </x:c>
    </x:row>
    <x:row r="5">
      <x:c r="A5" s="22" t="str">
        <x:v>483b41d6-632c-4efe-9bcc-488c80bf5bb7</x:v>
      </x:c>
      <x:c r="B5" s="22" t="str">
        <x:v>Balea Med Ultra Sensitive Conditioner</x:v>
      </x:c>
      <x:c r="C5" s="22" t="str">
        <x:v>conditioning_deposition_potential</x:v>
      </x:c>
      <x:c r="D5" s="22" t="str">
        <x:v>higher</x:v>
      </x:c>
      <x:c r="E5" s="22" t="str">
        <x:v>moderate</x:v>
      </x:c>
      <x:c r="F5" s="22" t="n">
        <x:v>3</x:v>
      </x:c>
      <x:c r="G5" s="22" t="n">
        <x:v>2</x:v>
      </x:c>
      <x:c r="H5" s="22" t="n">
        <x:f>IF(D5=E5,1,0)</x:f>
        <x:v>0</x:v>
      </x:c>
      <x:c r="I5" s="22" t="n">
        <x:f>IF(OR(F5="",G5=""),"",IF(ABS(F5-G5)&lt;=1,1,0))</x:f>
        <x:v>1</x:v>
      </x:c>
      <x:c r="J5" s="22" t="n">
        <x:f>IF(OR(F5="",G5=""),"",ABS(F5-G5))</x:f>
        <x:v>1</x:v>
      </x:c>
      <x:c r="K5" s="22" t="str">
        <x:v>legitimate_threshold_uncertainty</x:v>
      </x:c>
    </x:row>
    <x:row r="6">
      <x:c r="A6" s="23" t="str">
        <x:v>483b41d6-632c-4efe-9bcc-488c80bf5bb7</x:v>
      </x:c>
      <x:c r="B6" s="23" t="str">
        <x:v>Balea Med Ultra Sensitive Conditioner</x:v>
      </x:c>
      <x:c r="C6" s="23" t="str">
        <x:v>wet_slip_detangling_potential</x:v>
      </x:c>
      <x:c r="D6" s="23" t="str">
        <x:v>higher</x:v>
      </x:c>
      <x:c r="E6" s="23" t="str">
        <x:v>moderate</x:v>
      </x:c>
      <x:c r="F6" s="23" t="n">
        <x:v>3</x:v>
      </x:c>
      <x:c r="G6" s="23" t="n">
        <x:v>2</x:v>
      </x:c>
      <x:c r="H6" s="23" t="n">
        <x:f>IF(D6=E6,1,0)</x:f>
        <x:v>0</x:v>
      </x:c>
      <x:c r="I6" s="23" t="n">
        <x:f>IF(OR(F6="",G6=""),"",IF(ABS(F6-G6)&lt;=1,1,0))</x:f>
        <x:v>1</x:v>
      </x:c>
      <x:c r="J6" s="23" t="n">
        <x:f>IF(OR(F6="",G6=""),"",ABS(F6-G6))</x:f>
        <x:v>1</x:v>
      </x:c>
      <x:c r="K6" s="23" t="str">
        <x:v>legitimate_threshold_uncertainty</x:v>
      </x:c>
    </x:row>
    <x:row r="7">
      <x:c r="A7" s="23" t="str">
        <x:v>483b41d6-632c-4efe-9bcc-488c80bf5bb7</x:v>
      </x:c>
      <x:c r="B7" s="23" t="str">
        <x:v>Balea Med Ultra Sensitive Conditioner</x:v>
      </x:c>
      <x:c r="C7" s="23" t="str">
        <x:v>dry_combability_potential</x:v>
      </x:c>
      <x:c r="D7" s="23" t="str">
        <x:v>moderate</x:v>
      </x:c>
      <x:c r="E7" s="23" t="str">
        <x:v>moderate</x:v>
      </x:c>
      <x:c r="F7" s="23" t="n">
        <x:v>2</x:v>
      </x:c>
      <x:c r="G7" s="23" t="n">
        <x:v>2</x:v>
      </x:c>
      <x:c r="H7" s="23" t="n">
        <x:f>IF(D7=E7,1,0)</x:f>
        <x:v>1</x:v>
      </x:c>
      <x:c r="I7" s="23" t="n">
        <x:f>IF(OR(F7="",G7=""),"",IF(ABS(F7-G7)&lt;=1,1,0))</x:f>
        <x:v>1</x:v>
      </x:c>
      <x:c r="J7" s="23" t="n">
        <x:f>IF(OR(F7="",G7=""),"",ABS(F7-G7))</x:f>
        <x:v>0</x:v>
      </x:c>
      <x:c r="K7" s="23" t="str">
        <x:v>exact</x:v>
      </x:c>
    </x:row>
    <x:row r="8">
      <x:c r="A8" s="23" t="str">
        <x:v>483b41d6-632c-4efe-9bcc-488c80bf5bb7</x:v>
      </x:c>
      <x:c r="B8" s="23" t="str">
        <x:v>Balea Med Ultra Sensitive Conditioner</x:v>
      </x:c>
      <x:c r="C8" s="23" t="str">
        <x:v>surface_lubrication_softness_potential</x:v>
      </x:c>
      <x:c r="D8" s="23" t="str">
        <x:v>moderate</x:v>
      </x:c>
      <x:c r="E8" s="23" t="str">
        <x:v>moderate</x:v>
      </x:c>
      <x:c r="F8" s="23" t="n">
        <x:v>2</x:v>
      </x:c>
      <x:c r="G8" s="23" t="n">
        <x:v>2</x:v>
      </x:c>
      <x:c r="H8" s="23" t="n">
        <x:f>IF(D8=E8,1,0)</x:f>
        <x:v>1</x:v>
      </x:c>
      <x:c r="I8" s="23" t="n">
        <x:f>IF(OR(F8="",G8=""),"",IF(ABS(F8-G8)&lt;=1,1,0))</x:f>
        <x:v>1</x:v>
      </x:c>
      <x:c r="J8" s="23" t="n">
        <x:f>IF(OR(F8="",G8=""),"",ABS(F8-G8))</x:f>
        <x:v>0</x:v>
      </x:c>
      <x:c r="K8" s="23" t="str">
        <x:v>exact</x:v>
      </x:c>
    </x:row>
    <x:row r="9">
      <x:c r="A9" s="23" t="str">
        <x:v>483b41d6-632c-4efe-9bcc-488c80bf5bb7</x:v>
      </x:c>
      <x:c r="B9" s="23" t="str">
        <x:v>Balea Med Ultra Sensitive Conditioner</x:v>
      </x:c>
      <x:c r="C9" s="23" t="str">
        <x:v>smoothing_frizz_control_potential</x:v>
      </x:c>
      <x:c r="D9" s="23" t="str">
        <x:v>moderate</x:v>
      </x:c>
      <x:c r="E9" s="23" t="str">
        <x:v>moderate</x:v>
      </x:c>
      <x:c r="F9" s="23" t="n">
        <x:v>2</x:v>
      </x:c>
      <x:c r="G9" s="23" t="n">
        <x:v>2</x:v>
      </x:c>
      <x:c r="H9" s="23" t="n">
        <x:f>IF(D9=E9,1,0)</x:f>
        <x:v>1</x:v>
      </x:c>
      <x:c r="I9" s="23" t="n">
        <x:f>IF(OR(F9="",G9=""),"",IF(ABS(F9-G9)&lt;=1,1,0))</x:f>
        <x:v>1</x:v>
      </x:c>
      <x:c r="J9" s="23" t="n">
        <x:f>IF(OR(F9="",G9=""),"",ABS(F9-G9))</x:f>
        <x:v>0</x:v>
      </x:c>
      <x:c r="K9" s="23" t="str">
        <x:v>exact</x:v>
      </x:c>
    </x:row>
    <x:row r="10">
      <x:c r="A10" s="23" t="str">
        <x:v>483b41d6-632c-4efe-9bcc-488c80bf5bb7</x:v>
      </x:c>
      <x:c r="B10" s="23" t="str">
        <x:v>Balea Med Ultra Sensitive Conditioner</x:v>
      </x:c>
      <x:c r="C10" s="23" t="str">
        <x:v>shine_potential</x:v>
      </x:c>
      <x:c r="D10" s="23" t="str">
        <x:v>lower</x:v>
      </x:c>
      <x:c r="E10" s="23" t="str">
        <x:v>moderate</x:v>
      </x:c>
      <x:c r="F10" s="23" t="n">
        <x:v>1</x:v>
      </x:c>
      <x:c r="G10" s="23" t="n">
        <x:v>2</x:v>
      </x:c>
      <x:c r="H10" s="23" t="n">
        <x:f>IF(D10=E10,1,0)</x:f>
        <x:v>0</x:v>
      </x:c>
      <x:c r="I10" s="23" t="n">
        <x:f>IF(OR(F10="",G10=""),"",IF(ABS(F10-G10)&lt;=1,1,0))</x:f>
        <x:v>1</x:v>
      </x:c>
      <x:c r="J10" s="23" t="n">
        <x:f>IF(OR(F10="",G10=""),"",ABS(F10-G10))</x:f>
        <x:v>1</x:v>
      </x:c>
      <x:c r="K10" s="23" t="str">
        <x:v>legitimate_threshold_uncertainty</x:v>
      </x:c>
    </x:row>
    <x:row r="11">
      <x:c r="A11" s="23" t="str">
        <x:v>483b41d6-632c-4efe-9bcc-488c80bf5bb7</x:v>
      </x:c>
      <x:c r="B11" s="23" t="str">
        <x:v>Balea Med Ultra Sensitive Conditioner</x:v>
      </x:c>
      <x:c r="C11" s="23" t="str">
        <x:v>weight_deposition_potential</x:v>
      </x:c>
      <x:c r="D11" s="23" t="str">
        <x:v>moderate</x:v>
      </x:c>
      <x:c r="E11" s="23" t="str">
        <x:v>moderate</x:v>
      </x:c>
      <x:c r="F11" s="23" t="n">
        <x:v>2</x:v>
      </x:c>
      <x:c r="G11" s="23" t="n">
        <x:v>2</x:v>
      </x:c>
      <x:c r="H11" s="23" t="n">
        <x:f>IF(D11=E11,1,0)</x:f>
        <x:v>1</x:v>
      </x:c>
      <x:c r="I11" s="23" t="n">
        <x:f>IF(OR(F11="",G11=""),"",IF(ABS(F11-G11)&lt;=1,1,0))</x:f>
        <x:v>1</x:v>
      </x:c>
      <x:c r="J11" s="23" t="n">
        <x:f>IF(OR(F11="",G11=""),"",ABS(F11-G11))</x:f>
        <x:v>0</x:v>
      </x:c>
      <x:c r="K11" s="23" t="str">
        <x:v>exact</x:v>
      </x:c>
    </x:row>
    <x:row r="12">
      <x:c r="A12" s="23" t="str">
        <x:v>483b41d6-632c-4efe-9bcc-488c80bf5bb7</x:v>
      </x:c>
      <x:c r="B12" s="23" t="str">
        <x:v>Balea Med Ultra Sensitive Conditioner</x:v>
      </x:c>
      <x:c r="C12" s="23" t="str">
        <x:v>rinse_behavior</x:v>
      </x:c>
      <x:c r="D12" s="23" t="str">
        <x:v>unknown</x:v>
      </x:c>
      <x:c r="E12" s="23" t="str">
        <x:v>unknown</x:v>
      </x:c>
      <x:c r="F12" s="23" t="str"/>
      <x:c r="G12" s="23" t="str"/>
      <x:c r="H12" s="23" t="n">
        <x:f>IF(D12=E12,1,0)</x:f>
        <x:v>1</x:v>
      </x:c>
      <x:c r="I12" s="23" t="str">
        <x:f>IF(OR(F12="",G12=""),"",IF(ABS(F12-G12)&lt;=1,1,0))</x:f>
      </x:c>
      <x:c r="J12" s="23" t="str">
        <x:f>IF(OR(F12="",G12=""),"",ABS(F12-G12))</x:f>
      </x:c>
      <x:c r="K12" s="23" t="str">
        <x:v>exact</x:v>
      </x:c>
    </x:row>
    <x:row r="13">
      <x:c r="A13" s="23" t="str">
        <x:v>483b41d6-632c-4efe-9bcc-488c80bf5bb7</x:v>
      </x:c>
      <x:c r="B13" s="23" t="str">
        <x:v>Balea Med Ultra Sensitive Conditioner</x:v>
      </x:c>
      <x:c r="C13" s="23" t="str">
        <x:v>cumulative_residue_risk</x:v>
      </x:c>
      <x:c r="D13" s="23" t="str">
        <x:v>indeterminate</x:v>
      </x:c>
      <x:c r="E13" s="23" t="str">
        <x:v>indeterminate</x:v>
      </x:c>
      <x:c r="F13" s="23" t="str"/>
      <x:c r="G13" s="23" t="str"/>
      <x:c r="H13" s="23" t="n">
        <x:f>IF(D13=E13,1,0)</x:f>
        <x:v>1</x:v>
      </x:c>
      <x:c r="I13" s="23" t="str">
        <x:f>IF(OR(F13="",G13=""),"",IF(ABS(F13-G13)&lt;=1,1,0))</x:f>
      </x:c>
      <x:c r="J13" s="23" t="str">
        <x:f>IF(OR(F13="",G13=""),"",ABS(F13-G13))</x:f>
      </x:c>
      <x:c r="K13" s="23" t="str">
        <x:v>exact</x:v>
      </x:c>
    </x:row>
    <x:row r="14">
      <x:c r="A14" s="23" t="str">
        <x:v>483b41d6-632c-4efe-9bcc-488c80bf5bb7</x:v>
      </x:c>
      <x:c r="B14" s="23" t="str">
        <x:v>Balea Med Ultra Sensitive Conditioner</x:v>
      </x:c>
      <x:c r="C14" s="23" t="str">
        <x:v>body_lightness_potential</x:v>
      </x:c>
      <x:c r="D14" s="23" t="str">
        <x:v>balanced</x:v>
      </x:c>
      <x:c r="E14" s="23" t="str">
        <x:v>balanced</x:v>
      </x:c>
      <x:c r="F14" s="23" t="n">
        <x:v>2</x:v>
      </x:c>
      <x:c r="G14" s="23" t="n">
        <x:v>2</x:v>
      </x:c>
      <x:c r="H14" s="23" t="n">
        <x:f>IF(D14=E14,1,0)</x:f>
        <x:v>1</x:v>
      </x:c>
      <x:c r="I14" s="23" t="n">
        <x:f>IF(OR(F14="",G14=""),"",IF(ABS(F14-G14)&lt;=1,1,0))</x:f>
        <x:v>1</x:v>
      </x:c>
      <x:c r="J14" s="23" t="n">
        <x:f>IF(OR(F14="",G14=""),"",ABS(F14-G14))</x:f>
        <x:v>0</x:v>
      </x:c>
      <x:c r="K14" s="23" t="str">
        <x:v>exact</x:v>
      </x:c>
    </x:row>
    <x:row r="15">
      <x:c r="A15" s="23" t="str">
        <x:v>483b41d6-632c-4efe-9bcc-488c80bf5bb7</x:v>
      </x:c>
      <x:c r="B15" s="23" t="str">
        <x:v>Balea Med Ultra Sensitive Conditioner</x:v>
      </x:c>
      <x:c r="C15" s="23" t="str">
        <x:v>repair_lubrication_protection</x:v>
      </x:c>
      <x:c r="D15" s="23" t="str">
        <x:v>candidate</x:v>
      </x:c>
      <x:c r="E15" s="23" t="str">
        <x:v>candidate</x:v>
      </x:c>
      <x:c r="F15" s="23" t="n">
        <x:v>2</x:v>
      </x:c>
      <x:c r="G15" s="23" t="n">
        <x:v>2</x:v>
      </x:c>
      <x:c r="H15" s="23" t="n">
        <x:f>IF(D15=E15,1,0)</x:f>
        <x:v>1</x:v>
      </x:c>
      <x:c r="I15" s="23" t="n">
        <x:f>IF(OR(F15="",G15=""),"",IF(ABS(F15-G15)&lt;=1,1,0))</x:f>
        <x:v>1</x:v>
      </x:c>
      <x:c r="J15" s="23" t="n">
        <x:f>IF(OR(F15="",G15=""),"",ABS(F15-G15))</x:f>
        <x:v>0</x:v>
      </x:c>
      <x:c r="K15" s="23" t="str">
        <x:v>exact</x:v>
      </x:c>
    </x:row>
    <x:row r="16">
      <x:c r="A16" s="23" t="str">
        <x:v>483b41d6-632c-4efe-9bcc-488c80bf5bb7</x:v>
      </x:c>
      <x:c r="B16" s="23" t="str">
        <x:v>Balea Med Ultra Sensitive Conditioner</x:v>
      </x:c>
      <x:c r="C16" s="23" t="str">
        <x:v>repair_surface_film</x:v>
      </x:c>
      <x:c r="D16" s="23" t="str">
        <x:v>none_visible</x:v>
      </x:c>
      <x:c r="E16" s="23" t="str">
        <x:v>none_visible</x:v>
      </x:c>
      <x:c r="F16" s="23" t="n">
        <x:v>1</x:v>
      </x:c>
      <x:c r="G16" s="23" t="n">
        <x:v>1</x:v>
      </x:c>
      <x:c r="H16" s="23" t="n">
        <x:f>IF(D16=E16,1,0)</x:f>
        <x:v>1</x:v>
      </x:c>
      <x:c r="I16" s="23" t="n">
        <x:f>IF(OR(F16="",G16=""),"",IF(ABS(F16-G16)&lt;=1,1,0))</x:f>
        <x:v>1</x:v>
      </x:c>
      <x:c r="J16" s="23" t="n">
        <x:f>IF(OR(F16="",G16=""),"",ABS(F16-G16))</x:f>
        <x:v>0</x:v>
      </x:c>
      <x:c r="K16" s="23" t="str">
        <x:v>exact</x:v>
      </x:c>
    </x:row>
    <x:row r="17">
      <x:c r="A17" s="23" t="str">
        <x:v>483b41d6-632c-4efe-9bcc-488c80bf5bb7</x:v>
      </x:c>
      <x:c r="B17" s="23" t="str">
        <x:v>Balea Med Ultra Sensitive Conditioner</x:v>
      </x:c>
      <x:c r="C17" s="23" t="str">
        <x:v>bond_specific_support</x:v>
      </x:c>
      <x:c r="D17" s="23" t="str">
        <x:v>unknown</x:v>
      </x:c>
      <x:c r="E17" s="23" t="str">
        <x:v>unknown</x:v>
      </x:c>
      <x:c r="F17" s="23" t="str"/>
      <x:c r="G17" s="23" t="str"/>
      <x:c r="H17" s="23" t="n">
        <x:f>IF(D17=E17,1,0)</x:f>
        <x:v>1</x:v>
      </x:c>
      <x:c r="I17" s="23" t="str">
        <x:f>IF(OR(F17="",G17=""),"",IF(ABS(F17-G17)&lt;=1,1,0))</x:f>
      </x:c>
      <x:c r="J17" s="23" t="str">
        <x:f>IF(OR(F17="",G17=""),"",ABS(F17-G17))</x:f>
      </x:c>
      <x:c r="K17" s="23" t="str">
        <x:v>exact</x:v>
      </x:c>
    </x:row>
    <x:row r="18">
      <x:c r="A18" s="23" t="str">
        <x:v>483b41d6-632c-4efe-9bcc-488c80bf5bb7</x:v>
      </x:c>
      <x:c r="B18" s="23" t="str">
        <x:v>Balea Med Ultra Sensitive Conditioner</x:v>
      </x:c>
      <x:c r="C18" s="23" t="str">
        <x:v>color_chemical_damage_protection</x:v>
      </x:c>
      <x:c r="D18" s="23" t="str">
        <x:v>general_conditioning</x:v>
      </x:c>
      <x:c r="E18" s="23" t="str">
        <x:v>general_conditioning</x:v>
      </x:c>
      <x:c r="F18" s="23" t="n">
        <x:v>1</x:v>
      </x:c>
      <x:c r="G18" s="23" t="n">
        <x:v>1</x:v>
      </x:c>
      <x:c r="H18" s="23" t="n">
        <x:f>IF(D18=E18,1,0)</x:f>
        <x:v>1</x:v>
      </x:c>
      <x:c r="I18" s="23" t="n">
        <x:f>IF(OR(F18="",G18=""),"",IF(ABS(F18-G18)&lt;=1,1,0))</x:f>
        <x:v>1</x:v>
      </x:c>
      <x:c r="J18" s="23" t="n">
        <x:f>IF(OR(F18="",G18=""),"",ABS(F18-G18))</x:f>
        <x:v>0</x:v>
      </x:c>
      <x:c r="K18" s="23" t="str">
        <x:v>exact</x:v>
      </x:c>
    </x:row>
    <x:row r="19">
      <x:c r="A19" s="23" t="str">
        <x:v>483b41d6-632c-4efe-9bcc-488c80bf5bb7</x:v>
      </x:c>
      <x:c r="B19" s="23" t="str">
        <x:v>Balea Med Ultra Sensitive Conditioner</x:v>
      </x:c>
      <x:c r="C19" s="23" t="str">
        <x:v>fragrance_scalp_exposure</x:v>
      </x:c>
      <x:c r="D19" s="23" t="str">
        <x:v>no_listed_fragrance_signal</x:v>
      </x:c>
      <x:c r="E19" s="23" t="str">
        <x:v>no_listed_fragrance_signal</x:v>
      </x:c>
      <x:c r="F19" s="23" t="str"/>
      <x:c r="G19" s="23" t="str"/>
      <x:c r="H19" s="23" t="n">
        <x:f>IF(D19=E19,1,0)</x:f>
        <x:v>1</x:v>
      </x:c>
      <x:c r="I19" s="23" t="str">
        <x:f>IF(OR(F19="",G19=""),"",IF(ABS(F19-G19)&lt;=1,1,0))</x:f>
      </x:c>
      <x:c r="J19" s="23" t="str">
        <x:f>IF(OR(F19="",G19=""),"",ABS(F19-G19))</x:f>
      </x:c>
      <x:c r="K19" s="23" t="str">
        <x:v>exact</x:v>
      </x:c>
    </x:row>
    <x:row r="20">
      <x:c r="A20" s="23" t="str">
        <x:v>483b41d6-632c-4efe-9bcc-488c80bf5bb7</x:v>
      </x:c>
      <x:c r="B20" s="23" t="str">
        <x:v>Balea Med Ultra Sensitive Conditioner</x:v>
      </x:c>
      <x:c r="C20" s="23" t="str">
        <x:v>usage_role</x:v>
      </x:c>
      <x:c r="D20" s="23" t="str">
        <x:v>unknown</x:v>
      </x:c>
      <x:c r="E20" s="23" t="str">
        <x:v>unknown</x:v>
      </x:c>
      <x:c r="F20" s="23" t="str"/>
      <x:c r="G20" s="23" t="str"/>
      <x:c r="H20" s="23" t="n">
        <x:f>IF(D20=E20,1,0)</x:f>
        <x:v>1</x:v>
      </x:c>
      <x:c r="I20" s="23" t="str">
        <x:f>IF(OR(F20="",G20=""),"",IF(ABS(F20-G20)&lt;=1,1,0))</x:f>
      </x:c>
      <x:c r="J20" s="23" t="str">
        <x:f>IF(OR(F20="",G20=""),"",ABS(F20-G20))</x:f>
      </x:c>
      <x:c r="K20" s="23" t="str">
        <x:v>exact</x:v>
      </x:c>
    </x:row>
    <x:row r="21">
      <x:c r="A21" s="23" t="str">
        <x:v>a6730d6f-df2f-4ebf-8013-eb39162f15df</x:v>
      </x:c>
      <x:c r="B21" s="23" t="str">
        <x:v>Balea Professional Aqua Hyaluron Conditioner</x:v>
      </x:c>
      <x:c r="C21" s="23" t="str">
        <x:v>conditioning_deposition_potential</x:v>
      </x:c>
      <x:c r="D21" s="23" t="str">
        <x:v>moderate</x:v>
      </x:c>
      <x:c r="E21" s="23" t="str">
        <x:v>moderate</x:v>
      </x:c>
      <x:c r="F21" s="23" t="n">
        <x:v>2</x:v>
      </x:c>
      <x:c r="G21" s="23" t="n">
        <x:v>2</x:v>
      </x:c>
      <x:c r="H21" s="23" t="n">
        <x:f>IF(D21=E21,1,0)</x:f>
        <x:v>1</x:v>
      </x:c>
      <x:c r="I21" s="23" t="n">
        <x:f>IF(OR(F21="",G21=""),"",IF(ABS(F21-G21)&lt;=1,1,0))</x:f>
        <x:v>1</x:v>
      </x:c>
      <x:c r="J21" s="23" t="n">
        <x:f>IF(OR(F21="",G21=""),"",ABS(F21-G21))</x:f>
        <x:v>0</x:v>
      </x:c>
      <x:c r="K21" s="23" t="str">
        <x:v>exact</x:v>
      </x:c>
    </x:row>
    <x:row r="22">
      <x:c r="A22" s="23" t="str">
        <x:v>a6730d6f-df2f-4ebf-8013-eb39162f15df</x:v>
      </x:c>
      <x:c r="B22" s="23" t="str">
        <x:v>Balea Professional Aqua Hyaluron Conditioner</x:v>
      </x:c>
      <x:c r="C22" s="23" t="str">
        <x:v>wet_slip_detangling_potential</x:v>
      </x:c>
      <x:c r="D22" s="23" t="str">
        <x:v>moderate</x:v>
      </x:c>
      <x:c r="E22" s="23" t="str">
        <x:v>moderate</x:v>
      </x:c>
      <x:c r="F22" s="23" t="n">
        <x:v>2</x:v>
      </x:c>
      <x:c r="G22" s="23" t="n">
        <x:v>2</x:v>
      </x:c>
      <x:c r="H22" s="23" t="n">
        <x:f>IF(D22=E22,1,0)</x:f>
        <x:v>1</x:v>
      </x:c>
      <x:c r="I22" s="23" t="n">
        <x:f>IF(OR(F22="",G22=""),"",IF(ABS(F22-G22)&lt;=1,1,0))</x:f>
        <x:v>1</x:v>
      </x:c>
      <x:c r="J22" s="23" t="n">
        <x:f>IF(OR(F22="",G22=""),"",ABS(F22-G22))</x:f>
        <x:v>0</x:v>
      </x:c>
      <x:c r="K22" s="23" t="str">
        <x:v>exact</x:v>
      </x:c>
    </x:row>
    <x:row r="23">
      <x:c r="A23" s="23" t="str">
        <x:v>a6730d6f-df2f-4ebf-8013-eb39162f15df</x:v>
      </x:c>
      <x:c r="B23" s="23" t="str">
        <x:v>Balea Professional Aqua Hyaluron Conditioner</x:v>
      </x:c>
      <x:c r="C23" s="23" t="str">
        <x:v>dry_combability_potential</x:v>
      </x:c>
      <x:c r="D23" s="23" t="str">
        <x:v>moderate</x:v>
      </x:c>
      <x:c r="E23" s="23" t="str">
        <x:v>moderate</x:v>
      </x:c>
      <x:c r="F23" s="23" t="n">
        <x:v>2</x:v>
      </x:c>
      <x:c r="G23" s="23" t="n">
        <x:v>2</x:v>
      </x:c>
      <x:c r="H23" s="23" t="n">
        <x:f>IF(D23=E23,1,0)</x:f>
        <x:v>1</x:v>
      </x:c>
      <x:c r="I23" s="23" t="n">
        <x:f>IF(OR(F23="",G23=""),"",IF(ABS(F23-G23)&lt;=1,1,0))</x:f>
        <x:v>1</x:v>
      </x:c>
      <x:c r="J23" s="23" t="n">
        <x:f>IF(OR(F23="",G23=""),"",ABS(F23-G23))</x:f>
        <x:v>0</x:v>
      </x:c>
      <x:c r="K23" s="23" t="str">
        <x:v>exact</x:v>
      </x:c>
    </x:row>
    <x:row r="24">
      <x:c r="A24" s="23" t="str">
        <x:v>a6730d6f-df2f-4ebf-8013-eb39162f15df</x:v>
      </x:c>
      <x:c r="B24" s="23" t="str">
        <x:v>Balea Professional Aqua Hyaluron Conditioner</x:v>
      </x:c>
      <x:c r="C24" s="23" t="str">
        <x:v>surface_lubrication_softness_potential</x:v>
      </x:c>
      <x:c r="D24" s="23" t="str">
        <x:v>moderate</x:v>
      </x:c>
      <x:c r="E24" s="23" t="str">
        <x:v>moderate</x:v>
      </x:c>
      <x:c r="F24" s="23" t="n">
        <x:v>2</x:v>
      </x:c>
      <x:c r="G24" s="23" t="n">
        <x:v>2</x:v>
      </x:c>
      <x:c r="H24" s="23" t="n">
        <x:f>IF(D24=E24,1,0)</x:f>
        <x:v>1</x:v>
      </x:c>
      <x:c r="I24" s="23" t="n">
        <x:f>IF(OR(F24="",G24=""),"",IF(ABS(F24-G24)&lt;=1,1,0))</x:f>
        <x:v>1</x:v>
      </x:c>
      <x:c r="J24" s="23" t="n">
        <x:f>IF(OR(F24="",G24=""),"",ABS(F24-G24))</x:f>
        <x:v>0</x:v>
      </x:c>
      <x:c r="K24" s="23" t="str">
        <x:v>exact</x:v>
      </x:c>
    </x:row>
    <x:row r="25">
      <x:c r="A25" s="23" t="str">
        <x:v>a6730d6f-df2f-4ebf-8013-eb39162f15df</x:v>
      </x:c>
      <x:c r="B25" s="23" t="str">
        <x:v>Balea Professional Aqua Hyaluron Conditioner</x:v>
      </x:c>
      <x:c r="C25" s="23" t="str">
        <x:v>smoothing_frizz_control_potential</x:v>
      </x:c>
      <x:c r="D25" s="23" t="str">
        <x:v>moderate</x:v>
      </x:c>
      <x:c r="E25" s="23" t="str">
        <x:v>moderate</x:v>
      </x:c>
      <x:c r="F25" s="23" t="n">
        <x:v>2</x:v>
      </x:c>
      <x:c r="G25" s="23" t="n">
        <x:v>2</x:v>
      </x:c>
      <x:c r="H25" s="23" t="n">
        <x:f>IF(D25=E25,1,0)</x:f>
        <x:v>1</x:v>
      </x:c>
      <x:c r="I25" s="23" t="n">
        <x:f>IF(OR(F25="",G25=""),"",IF(ABS(F25-G25)&lt;=1,1,0))</x:f>
        <x:v>1</x:v>
      </x:c>
      <x:c r="J25" s="23" t="n">
        <x:f>IF(OR(F25="",G25=""),"",ABS(F25-G25))</x:f>
        <x:v>0</x:v>
      </x:c>
      <x:c r="K25" s="23" t="str">
        <x:v>exact</x:v>
      </x:c>
    </x:row>
    <x:row r="26">
      <x:c r="A26" s="23" t="str">
        <x:v>a6730d6f-df2f-4ebf-8013-eb39162f15df</x:v>
      </x:c>
      <x:c r="B26" s="23" t="str">
        <x:v>Balea Professional Aqua Hyaluron Conditioner</x:v>
      </x:c>
      <x:c r="C26" s="23" t="str">
        <x:v>shine_potential</x:v>
      </x:c>
      <x:c r="D26" s="23" t="str">
        <x:v>lower</x:v>
      </x:c>
      <x:c r="E26" s="23" t="str">
        <x:v>lower</x:v>
      </x:c>
      <x:c r="F26" s="23" t="n">
        <x:v>1</x:v>
      </x:c>
      <x:c r="G26" s="23" t="n">
        <x:v>1</x:v>
      </x:c>
      <x:c r="H26" s="23" t="n">
        <x:f>IF(D26=E26,1,0)</x:f>
        <x:v>1</x:v>
      </x:c>
      <x:c r="I26" s="23" t="n">
        <x:f>IF(OR(F26="",G26=""),"",IF(ABS(F26-G26)&lt;=1,1,0))</x:f>
        <x:v>1</x:v>
      </x:c>
      <x:c r="J26" s="23" t="n">
        <x:f>IF(OR(F26="",G26=""),"",ABS(F26-G26))</x:f>
        <x:v>0</x:v>
      </x:c>
      <x:c r="K26" s="23" t="str">
        <x:v>exact</x:v>
      </x:c>
    </x:row>
    <x:row r="27">
      <x:c r="A27" s="23" t="str">
        <x:v>a6730d6f-df2f-4ebf-8013-eb39162f15df</x:v>
      </x:c>
      <x:c r="B27" s="23" t="str">
        <x:v>Balea Professional Aqua Hyaluron Conditioner</x:v>
      </x:c>
      <x:c r="C27" s="23" t="str">
        <x:v>weight_deposition_potential</x:v>
      </x:c>
      <x:c r="D27" s="23" t="str">
        <x:v>lower</x:v>
      </x:c>
      <x:c r="E27" s="23" t="str">
        <x:v>lower</x:v>
      </x:c>
      <x:c r="F27" s="23" t="n">
        <x:v>1</x:v>
      </x:c>
      <x:c r="G27" s="23" t="n">
        <x:v>1</x:v>
      </x:c>
      <x:c r="H27" s="23" t="n">
        <x:f>IF(D27=E27,1,0)</x:f>
        <x:v>1</x:v>
      </x:c>
      <x:c r="I27" s="23" t="n">
        <x:f>IF(OR(F27="",G27=""),"",IF(ABS(F27-G27)&lt;=1,1,0))</x:f>
        <x:v>1</x:v>
      </x:c>
      <x:c r="J27" s="23" t="n">
        <x:f>IF(OR(F27="",G27=""),"",ABS(F27-G27))</x:f>
        <x:v>0</x:v>
      </x:c>
      <x:c r="K27" s="23" t="str">
        <x:v>exact</x:v>
      </x:c>
    </x:row>
    <x:row r="28">
      <x:c r="A28" s="23" t="str">
        <x:v>a6730d6f-df2f-4ebf-8013-eb39162f15df</x:v>
      </x:c>
      <x:c r="B28" s="23" t="str">
        <x:v>Balea Professional Aqua Hyaluron Conditioner</x:v>
      </x:c>
      <x:c r="C28" s="23" t="str">
        <x:v>rinse_behavior</x:v>
      </x:c>
      <x:c r="D28" s="23" t="str">
        <x:v>unknown</x:v>
      </x:c>
      <x:c r="E28" s="23" t="str">
        <x:v>unknown</x:v>
      </x:c>
      <x:c r="F28" s="23" t="str"/>
      <x:c r="G28" s="23" t="str"/>
      <x:c r="H28" s="23" t="n">
        <x:f>IF(D28=E28,1,0)</x:f>
        <x:v>1</x:v>
      </x:c>
      <x:c r="I28" s="23" t="str">
        <x:f>IF(OR(F28="",G28=""),"",IF(ABS(F28-G28)&lt;=1,1,0))</x:f>
      </x:c>
      <x:c r="J28" s="23" t="str">
        <x:f>IF(OR(F28="",G28=""),"",ABS(F28-G28))</x:f>
      </x:c>
      <x:c r="K28" s="23" t="str">
        <x:v>exact</x:v>
      </x:c>
    </x:row>
    <x:row r="29">
      <x:c r="A29" s="23" t="str">
        <x:v>a6730d6f-df2f-4ebf-8013-eb39162f15df</x:v>
      </x:c>
      <x:c r="B29" s="23" t="str">
        <x:v>Balea Professional Aqua Hyaluron Conditioner</x:v>
      </x:c>
      <x:c r="C29" s="23" t="str">
        <x:v>cumulative_residue_risk</x:v>
      </x:c>
      <x:c r="D29" s="23" t="str">
        <x:v>indeterminate</x:v>
      </x:c>
      <x:c r="E29" s="23" t="str">
        <x:v>indeterminate</x:v>
      </x:c>
      <x:c r="F29" s="23" t="str"/>
      <x:c r="G29" s="23" t="str"/>
      <x:c r="H29" s="23" t="n">
        <x:f>IF(D29=E29,1,0)</x:f>
        <x:v>1</x:v>
      </x:c>
      <x:c r="I29" s="23" t="str">
        <x:f>IF(OR(F29="",G29=""),"",IF(ABS(F29-G29)&lt;=1,1,0))</x:f>
      </x:c>
      <x:c r="J29" s="23" t="str">
        <x:f>IF(OR(F29="",G29=""),"",ABS(F29-G29))</x:f>
      </x:c>
      <x:c r="K29" s="23" t="str">
        <x:v>exact</x:v>
      </x:c>
    </x:row>
    <x:row r="30">
      <x:c r="A30" s="23" t="str">
        <x:v>a6730d6f-df2f-4ebf-8013-eb39162f15df</x:v>
      </x:c>
      <x:c r="B30" s="23" t="str">
        <x:v>Balea Professional Aqua Hyaluron Conditioner</x:v>
      </x:c>
      <x:c r="C30" s="23" t="str">
        <x:v>body_lightness_potential</x:v>
      </x:c>
      <x:c r="D30" s="23" t="str">
        <x:v>likely_preserving</x:v>
      </x:c>
      <x:c r="E30" s="23" t="str">
        <x:v>likely_preserving</x:v>
      </x:c>
      <x:c r="F30" s="23" t="n">
        <x:v>1</x:v>
      </x:c>
      <x:c r="G30" s="23" t="n">
        <x:v>1</x:v>
      </x:c>
      <x:c r="H30" s="23" t="n">
        <x:f>IF(D30=E30,1,0)</x:f>
        <x:v>1</x:v>
      </x:c>
      <x:c r="I30" s="23" t="n">
        <x:f>IF(OR(F30="",G30=""),"",IF(ABS(F30-G30)&lt;=1,1,0))</x:f>
        <x:v>1</x:v>
      </x:c>
      <x:c r="J30" s="23" t="n">
        <x:f>IF(OR(F30="",G30=""),"",ABS(F30-G30))</x:f>
        <x:v>0</x:v>
      </x:c>
      <x:c r="K30" s="23" t="str">
        <x:v>exact</x:v>
      </x:c>
    </x:row>
    <x:row r="31">
      <x:c r="A31" s="23" t="str">
        <x:v>a6730d6f-df2f-4ebf-8013-eb39162f15df</x:v>
      </x:c>
      <x:c r="B31" s="23" t="str">
        <x:v>Balea Professional Aqua Hyaluron Conditioner</x:v>
      </x:c>
      <x:c r="C31" s="23" t="str">
        <x:v>repair_lubrication_protection</x:v>
      </x:c>
      <x:c r="D31" s="23" t="str">
        <x:v>candidate</x:v>
      </x:c>
      <x:c r="E31" s="23" t="str">
        <x:v>candidate</x:v>
      </x:c>
      <x:c r="F31" s="23" t="n">
        <x:v>2</x:v>
      </x:c>
      <x:c r="G31" s="23" t="n">
        <x:v>2</x:v>
      </x:c>
      <x:c r="H31" s="23" t="n">
        <x:f>IF(D31=E31,1,0)</x:f>
        <x:v>1</x:v>
      </x:c>
      <x:c r="I31" s="23" t="n">
        <x:f>IF(OR(F31="",G31=""),"",IF(ABS(F31-G31)&lt;=1,1,0))</x:f>
        <x:v>1</x:v>
      </x:c>
      <x:c r="J31" s="23" t="n">
        <x:f>IF(OR(F31="",G31=""),"",ABS(F31-G31))</x:f>
        <x:v>0</x:v>
      </x:c>
      <x:c r="K31" s="23" t="str">
        <x:v>exact</x:v>
      </x:c>
    </x:row>
    <x:row r="32">
      <x:c r="A32" s="23" t="str">
        <x:v>a6730d6f-df2f-4ebf-8013-eb39162f15df</x:v>
      </x:c>
      <x:c r="B32" s="23" t="str">
        <x:v>Balea Professional Aqua Hyaluron Conditioner</x:v>
      </x:c>
      <x:c r="C32" s="23" t="str">
        <x:v>repair_surface_film</x:v>
      </x:c>
      <x:c r="D32" s="23" t="str">
        <x:v>none_visible</x:v>
      </x:c>
      <x:c r="E32" s="23" t="str">
        <x:v>none_visible</x:v>
      </x:c>
      <x:c r="F32" s="23" t="n">
        <x:v>1</x:v>
      </x:c>
      <x:c r="G32" s="23" t="n">
        <x:v>1</x:v>
      </x:c>
      <x:c r="H32" s="23" t="n">
        <x:f>IF(D32=E32,1,0)</x:f>
        <x:v>1</x:v>
      </x:c>
      <x:c r="I32" s="23" t="n">
        <x:f>IF(OR(F32="",G32=""),"",IF(ABS(F32-G32)&lt;=1,1,0))</x:f>
        <x:v>1</x:v>
      </x:c>
      <x:c r="J32" s="23" t="n">
        <x:f>IF(OR(F32="",G32=""),"",ABS(F32-G32))</x:f>
        <x:v>0</x:v>
      </x:c>
      <x:c r="K32" s="23" t="str">
        <x:v>exact</x:v>
      </x:c>
    </x:row>
    <x:row r="33">
      <x:c r="A33" s="23" t="str">
        <x:v>a6730d6f-df2f-4ebf-8013-eb39162f15df</x:v>
      </x:c>
      <x:c r="B33" s="23" t="str">
        <x:v>Balea Professional Aqua Hyaluron Conditioner</x:v>
      </x:c>
      <x:c r="C33" s="23" t="str">
        <x:v>bond_specific_support</x:v>
      </x:c>
      <x:c r="D33" s="23" t="str">
        <x:v>unknown</x:v>
      </x:c>
      <x:c r="E33" s="23" t="str">
        <x:v>unknown</x:v>
      </x:c>
      <x:c r="F33" s="23" t="str"/>
      <x:c r="G33" s="23" t="str"/>
      <x:c r="H33" s="23" t="n">
        <x:f>IF(D33=E33,1,0)</x:f>
        <x:v>1</x:v>
      </x:c>
      <x:c r="I33" s="23" t="str">
        <x:f>IF(OR(F33="",G33=""),"",IF(ABS(F33-G33)&lt;=1,1,0))</x:f>
      </x:c>
      <x:c r="J33" s="23" t="str">
        <x:f>IF(OR(F33="",G33=""),"",ABS(F33-G33))</x:f>
      </x:c>
      <x:c r="K33" s="23" t="str">
        <x:v>exact</x:v>
      </x:c>
    </x:row>
    <x:row r="34">
      <x:c r="A34" s="23" t="str">
        <x:v>a6730d6f-df2f-4ebf-8013-eb39162f15df</x:v>
      </x:c>
      <x:c r="B34" s="23" t="str">
        <x:v>Balea Professional Aqua Hyaluron Conditioner</x:v>
      </x:c>
      <x:c r="C34" s="23" t="str">
        <x:v>color_chemical_damage_protection</x:v>
      </x:c>
      <x:c r="D34" s="23" t="str">
        <x:v>general_conditioning</x:v>
      </x:c>
      <x:c r="E34" s="23" t="str">
        <x:v>general_conditioning</x:v>
      </x:c>
      <x:c r="F34" s="23" t="n">
        <x:v>1</x:v>
      </x:c>
      <x:c r="G34" s="23" t="n">
        <x:v>1</x:v>
      </x:c>
      <x:c r="H34" s="23" t="n">
        <x:f>IF(D34=E34,1,0)</x:f>
        <x:v>1</x:v>
      </x:c>
      <x:c r="I34" s="23" t="n">
        <x:f>IF(OR(F34="",G34=""),"",IF(ABS(F34-G34)&lt;=1,1,0))</x:f>
        <x:v>1</x:v>
      </x:c>
      <x:c r="J34" s="23" t="n">
        <x:f>IF(OR(F34="",G34=""),"",ABS(F34-G34))</x:f>
        <x:v>0</x:v>
      </x:c>
      <x:c r="K34" s="23" t="str">
        <x:v>exact</x:v>
      </x:c>
    </x:row>
    <x:row r="35">
      <x:c r="A35" s="23" t="str">
        <x:v>a6730d6f-df2f-4ebf-8013-eb39162f15df</x:v>
      </x:c>
      <x:c r="B35" s="23" t="str">
        <x:v>Balea Professional Aqua Hyaluron Conditioner</x:v>
      </x:c>
      <x:c r="C35" s="23" t="str">
        <x:v>fragrance_scalp_exposure</x:v>
      </x:c>
      <x:c r="D35" s="23" t="str">
        <x:v>fragrance_declared</x:v>
      </x:c>
      <x:c r="E35" s="23" t="str">
        <x:v>fragrance_declared</x:v>
      </x:c>
      <x:c r="F35" s="23" t="str"/>
      <x:c r="G35" s="23" t="str"/>
      <x:c r="H35" s="23" t="n">
        <x:f>IF(D35=E35,1,0)</x:f>
        <x:v>1</x:v>
      </x:c>
      <x:c r="I35" s="23" t="str">
        <x:f>IF(OR(F35="",G35=""),"",IF(ABS(F35-G35)&lt;=1,1,0))</x:f>
      </x:c>
      <x:c r="J35" s="23" t="str">
        <x:f>IF(OR(F35="",G35=""),"",ABS(F35-G35))</x:f>
      </x:c>
      <x:c r="K35" s="23" t="str">
        <x:v>exact</x:v>
      </x:c>
    </x:row>
    <x:row r="36">
      <x:c r="A36" s="23" t="str">
        <x:v>a6730d6f-df2f-4ebf-8013-eb39162f15df</x:v>
      </x:c>
      <x:c r="B36" s="23" t="str">
        <x:v>Balea Professional Aqua Hyaluron Conditioner</x:v>
      </x:c>
      <x:c r="C36" s="23" t="str">
        <x:v>usage_role</x:v>
      </x:c>
      <x:c r="D36" s="23" t="str">
        <x:v>unknown</x:v>
      </x:c>
      <x:c r="E36" s="23" t="str">
        <x:v>unknown</x:v>
      </x:c>
      <x:c r="F36" s="23" t="str"/>
      <x:c r="G36" s="23" t="str"/>
      <x:c r="H36" s="23" t="n">
        <x:f>IF(D36=E36,1,0)</x:f>
        <x:v>1</x:v>
      </x:c>
      <x:c r="I36" s="23" t="str">
        <x:f>IF(OR(F36="",G36=""),"",IF(ABS(F36-G36)&lt;=1,1,0))</x:f>
      </x:c>
      <x:c r="J36" s="23" t="str">
        <x:f>IF(OR(F36="",G36=""),"",ABS(F36-G36))</x:f>
      </x:c>
      <x:c r="K36" s="23" t="str">
        <x:v>exact</x:v>
      </x:c>
    </x:row>
    <x:row r="37">
      <x:c r="A37" s="23" t="str">
        <x:v>5516009a-eecb-42dd-87f6-07c560161136</x:v>
      </x:c>
      <x:c r="B37" s="23" t="str">
        <x:v>Hair Food Aloe Vera Feuchtigkeits-Spülung</x:v>
      </x:c>
      <x:c r="C37" s="23" t="str">
        <x:v>conditioning_deposition_potential</x:v>
      </x:c>
      <x:c r="D37" s="23" t="str">
        <x:v>higher</x:v>
      </x:c>
      <x:c r="E37" s="23" t="str">
        <x:v>higher</x:v>
      </x:c>
      <x:c r="F37" s="23" t="n">
        <x:v>3</x:v>
      </x:c>
      <x:c r="G37" s="23" t="n">
        <x:v>3</x:v>
      </x:c>
      <x:c r="H37" s="23" t="n">
        <x:f>IF(D37=E37,1,0)</x:f>
        <x:v>1</x:v>
      </x:c>
      <x:c r="I37" s="23" t="n">
        <x:f>IF(OR(F37="",G37=""),"",IF(ABS(F37-G37)&lt;=1,1,0))</x:f>
        <x:v>1</x:v>
      </x:c>
      <x:c r="J37" s="23" t="n">
        <x:f>IF(OR(F37="",G37=""),"",ABS(F37-G37))</x:f>
        <x:v>0</x:v>
      </x:c>
      <x:c r="K37" s="23" t="str">
        <x:v>exact</x:v>
      </x:c>
    </x:row>
    <x:row r="38">
      <x:c r="A38" s="23" t="str">
        <x:v>5516009a-eecb-42dd-87f6-07c560161136</x:v>
      </x:c>
      <x:c r="B38" s="23" t="str">
        <x:v>Hair Food Aloe Vera Feuchtigkeits-Spülung</x:v>
      </x:c>
      <x:c r="C38" s="23" t="str">
        <x:v>wet_slip_detangling_potential</x:v>
      </x:c>
      <x:c r="D38" s="23" t="str">
        <x:v>higher</x:v>
      </x:c>
      <x:c r="E38" s="23" t="str">
        <x:v>higher</x:v>
      </x:c>
      <x:c r="F38" s="23" t="n">
        <x:v>3</x:v>
      </x:c>
      <x:c r="G38" s="23" t="n">
        <x:v>3</x:v>
      </x:c>
      <x:c r="H38" s="23" t="n">
        <x:f>IF(D38=E38,1,0)</x:f>
        <x:v>1</x:v>
      </x:c>
      <x:c r="I38" s="23" t="n">
        <x:f>IF(OR(F38="",G38=""),"",IF(ABS(F38-G38)&lt;=1,1,0))</x:f>
        <x:v>1</x:v>
      </x:c>
      <x:c r="J38" s="23" t="n">
        <x:f>IF(OR(F38="",G38=""),"",ABS(F38-G38))</x:f>
        <x:v>0</x:v>
      </x:c>
      <x:c r="K38" s="23" t="str">
        <x:v>exact</x:v>
      </x:c>
    </x:row>
    <x:row r="39">
      <x:c r="A39" s="23" t="str">
        <x:v>5516009a-eecb-42dd-87f6-07c560161136</x:v>
      </x:c>
      <x:c r="B39" s="23" t="str">
        <x:v>Hair Food Aloe Vera Feuchtigkeits-Spülung</x:v>
      </x:c>
      <x:c r="C39" s="23" t="str">
        <x:v>dry_combability_potential</x:v>
      </x:c>
      <x:c r="D39" s="23" t="str">
        <x:v>moderate</x:v>
      </x:c>
      <x:c r="E39" s="23" t="str">
        <x:v>moderate</x:v>
      </x:c>
      <x:c r="F39" s="23" t="n">
        <x:v>2</x:v>
      </x:c>
      <x:c r="G39" s="23" t="n">
        <x:v>2</x:v>
      </x:c>
      <x:c r="H39" s="23" t="n">
        <x:f>IF(D39=E39,1,0)</x:f>
        <x:v>1</x:v>
      </x:c>
      <x:c r="I39" s="23" t="n">
        <x:f>IF(OR(F39="",G39=""),"",IF(ABS(F39-G39)&lt;=1,1,0))</x:f>
        <x:v>1</x:v>
      </x:c>
      <x:c r="J39" s="23" t="n">
        <x:f>IF(OR(F39="",G39=""),"",ABS(F39-G39))</x:f>
        <x:v>0</x:v>
      </x:c>
      <x:c r="K39" s="23" t="str">
        <x:v>exact</x:v>
      </x:c>
    </x:row>
    <x:row r="40">
      <x:c r="A40" s="23" t="str">
        <x:v>5516009a-eecb-42dd-87f6-07c560161136</x:v>
      </x:c>
      <x:c r="B40" s="23" t="str">
        <x:v>Hair Food Aloe Vera Feuchtigkeits-Spülung</x:v>
      </x:c>
      <x:c r="C40" s="23" t="str">
        <x:v>surface_lubrication_softness_potential</x:v>
      </x:c>
      <x:c r="D40" s="23" t="str">
        <x:v>higher</x:v>
      </x:c>
      <x:c r="E40" s="23" t="str">
        <x:v>higher</x:v>
      </x:c>
      <x:c r="F40" s="23" t="n">
        <x:v>3</x:v>
      </x:c>
      <x:c r="G40" s="23" t="n">
        <x:v>3</x:v>
      </x:c>
      <x:c r="H40" s="23" t="n">
        <x:f>IF(D40=E40,1,0)</x:f>
        <x:v>1</x:v>
      </x:c>
      <x:c r="I40" s="23" t="n">
        <x:f>IF(OR(F40="",G40=""),"",IF(ABS(F40-G40)&lt;=1,1,0))</x:f>
        <x:v>1</x:v>
      </x:c>
      <x:c r="J40" s="23" t="n">
        <x:f>IF(OR(F40="",G40=""),"",ABS(F40-G40))</x:f>
        <x:v>0</x:v>
      </x:c>
      <x:c r="K40" s="23" t="str">
        <x:v>exact</x:v>
      </x:c>
    </x:row>
    <x:row r="41">
      <x:c r="A41" s="23" t="str">
        <x:v>5516009a-eecb-42dd-87f6-07c560161136</x:v>
      </x:c>
      <x:c r="B41" s="23" t="str">
        <x:v>Hair Food Aloe Vera Feuchtigkeits-Spülung</x:v>
      </x:c>
      <x:c r="C41" s="23" t="str">
        <x:v>smoothing_frizz_control_potential</x:v>
      </x:c>
      <x:c r="D41" s="23" t="str">
        <x:v>moderate</x:v>
      </x:c>
      <x:c r="E41" s="23" t="str">
        <x:v>moderate</x:v>
      </x:c>
      <x:c r="F41" s="23" t="n">
        <x:v>2</x:v>
      </x:c>
      <x:c r="G41" s="23" t="n">
        <x:v>2</x:v>
      </x:c>
      <x:c r="H41" s="23" t="n">
        <x:f>IF(D41=E41,1,0)</x:f>
        <x:v>1</x:v>
      </x:c>
      <x:c r="I41" s="23" t="n">
        <x:f>IF(OR(F41="",G41=""),"",IF(ABS(F41-G41)&lt;=1,1,0))</x:f>
        <x:v>1</x:v>
      </x:c>
      <x:c r="J41" s="23" t="n">
        <x:f>IF(OR(F41="",G41=""),"",ABS(F41-G41))</x:f>
        <x:v>0</x:v>
      </x:c>
      <x:c r="K41" s="23" t="str">
        <x:v>exact</x:v>
      </x:c>
    </x:row>
    <x:row r="42">
      <x:c r="A42" s="23" t="str">
        <x:v>5516009a-eecb-42dd-87f6-07c560161136</x:v>
      </x:c>
      <x:c r="B42" s="23" t="str">
        <x:v>Hair Food Aloe Vera Feuchtigkeits-Spülung</x:v>
      </x:c>
      <x:c r="C42" s="23" t="str">
        <x:v>shine_potential</x:v>
      </x:c>
      <x:c r="D42" s="23" t="str">
        <x:v>moderate</x:v>
      </x:c>
      <x:c r="E42" s="23" t="str">
        <x:v>moderate</x:v>
      </x:c>
      <x:c r="F42" s="23" t="n">
        <x:v>2</x:v>
      </x:c>
      <x:c r="G42" s="23" t="n">
        <x:v>2</x:v>
      </x:c>
      <x:c r="H42" s="23" t="n">
        <x:f>IF(D42=E42,1,0)</x:f>
        <x:v>1</x:v>
      </x:c>
      <x:c r="I42" s="23" t="n">
        <x:f>IF(OR(F42="",G42=""),"",IF(ABS(F42-G42)&lt;=1,1,0))</x:f>
        <x:v>1</x:v>
      </x:c>
      <x:c r="J42" s="23" t="n">
        <x:f>IF(OR(F42="",G42=""),"",ABS(F42-G42))</x:f>
        <x:v>0</x:v>
      </x:c>
      <x:c r="K42" s="23" t="str">
        <x:v>exact</x:v>
      </x:c>
    </x:row>
    <x:row r="43">
      <x:c r="A43" s="23" t="str">
        <x:v>5516009a-eecb-42dd-87f6-07c560161136</x:v>
      </x:c>
      <x:c r="B43" s="23" t="str">
        <x:v>Hair Food Aloe Vera Feuchtigkeits-Spülung</x:v>
      </x:c>
      <x:c r="C43" s="23" t="str">
        <x:v>weight_deposition_potential</x:v>
      </x:c>
      <x:c r="D43" s="23" t="str">
        <x:v>higher</x:v>
      </x:c>
      <x:c r="E43" s="23" t="str">
        <x:v>higher</x:v>
      </x:c>
      <x:c r="F43" s="23" t="n">
        <x:v>3</x:v>
      </x:c>
      <x:c r="G43" s="23" t="n">
        <x:v>3</x:v>
      </x:c>
      <x:c r="H43" s="23" t="n">
        <x:f>IF(D43=E43,1,0)</x:f>
        <x:v>1</x:v>
      </x:c>
      <x:c r="I43" s="23" t="n">
        <x:f>IF(OR(F43="",G43=""),"",IF(ABS(F43-G43)&lt;=1,1,0))</x:f>
        <x:v>1</x:v>
      </x:c>
      <x:c r="J43" s="23" t="n">
        <x:f>IF(OR(F43="",G43=""),"",ABS(F43-G43))</x:f>
        <x:v>0</x:v>
      </x:c>
      <x:c r="K43" s="23" t="str">
        <x:v>exact</x:v>
      </x:c>
    </x:row>
    <x:row r="44">
      <x:c r="A44" s="23" t="str">
        <x:v>5516009a-eecb-42dd-87f6-07c560161136</x:v>
      </x:c>
      <x:c r="B44" s="23" t="str">
        <x:v>Hair Food Aloe Vera Feuchtigkeits-Spülung</x:v>
      </x:c>
      <x:c r="C44" s="23" t="str">
        <x:v>rinse_behavior</x:v>
      </x:c>
      <x:c r="D44" s="23" t="str">
        <x:v>unknown</x:v>
      </x:c>
      <x:c r="E44" s="23" t="str">
        <x:v>unknown</x:v>
      </x:c>
      <x:c r="F44" s="23" t="str"/>
      <x:c r="G44" s="23" t="str"/>
      <x:c r="H44" s="23" t="n">
        <x:f>IF(D44=E44,1,0)</x:f>
        <x:v>1</x:v>
      </x:c>
      <x:c r="I44" s="23" t="str">
        <x:f>IF(OR(F44="",G44=""),"",IF(ABS(F44-G44)&lt;=1,1,0))</x:f>
      </x:c>
      <x:c r="J44" s="23" t="str">
        <x:f>IF(OR(F44="",G44=""),"",ABS(F44-G44))</x:f>
      </x:c>
      <x:c r="K44" s="23" t="str">
        <x:v>exact</x:v>
      </x:c>
    </x:row>
    <x:row r="45">
      <x:c r="A45" s="23" t="str">
        <x:v>5516009a-eecb-42dd-87f6-07c560161136</x:v>
      </x:c>
      <x:c r="B45" s="23" t="str">
        <x:v>Hair Food Aloe Vera Feuchtigkeits-Spülung</x:v>
      </x:c>
      <x:c r="C45" s="23" t="str">
        <x:v>cumulative_residue_risk</x:v>
      </x:c>
      <x:c r="D45" s="23" t="str">
        <x:v>indeterminate</x:v>
      </x:c>
      <x:c r="E45" s="23" t="str">
        <x:v>indeterminate</x:v>
      </x:c>
      <x:c r="F45" s="23" t="str"/>
      <x:c r="G45" s="23" t="str"/>
      <x:c r="H45" s="23" t="n">
        <x:f>IF(D45=E45,1,0)</x:f>
        <x:v>1</x:v>
      </x:c>
      <x:c r="I45" s="23" t="str">
        <x:f>IF(OR(F45="",G45=""),"",IF(ABS(F45-G45)&lt;=1,1,0))</x:f>
      </x:c>
      <x:c r="J45" s="23" t="str">
        <x:f>IF(OR(F45="",G45=""),"",ABS(F45-G45))</x:f>
      </x:c>
      <x:c r="K45" s="23" t="str">
        <x:v>exact</x:v>
      </x:c>
    </x:row>
    <x:row r="46">
      <x:c r="A46" s="23" t="str">
        <x:v>5516009a-eecb-42dd-87f6-07c560161136</x:v>
      </x:c>
      <x:c r="B46" s="23" t="str">
        <x:v>Hair Food Aloe Vera Feuchtigkeits-Spülung</x:v>
      </x:c>
      <x:c r="C46" s="23" t="str">
        <x:v>body_lightness_potential</x:v>
      </x:c>
      <x:c r="D46" s="23" t="str">
        <x:v>likely_depositing</x:v>
      </x:c>
      <x:c r="E46" s="23" t="str">
        <x:v>likely_depositing</x:v>
      </x:c>
      <x:c r="F46" s="23" t="n">
        <x:v>3</x:v>
      </x:c>
      <x:c r="G46" s="23" t="n">
        <x:v>3</x:v>
      </x:c>
      <x:c r="H46" s="23" t="n">
        <x:f>IF(D46=E46,1,0)</x:f>
        <x:v>1</x:v>
      </x:c>
      <x:c r="I46" s="23" t="n">
        <x:f>IF(OR(F46="",G46=""),"",IF(ABS(F46-G46)&lt;=1,1,0))</x:f>
        <x:v>1</x:v>
      </x:c>
      <x:c r="J46" s="23" t="n">
        <x:f>IF(OR(F46="",G46=""),"",ABS(F46-G46))</x:f>
        <x:v>0</x:v>
      </x:c>
      <x:c r="K46" s="23" t="str">
        <x:v>exact</x:v>
      </x:c>
    </x:row>
    <x:row r="47">
      <x:c r="A47" s="23" t="str">
        <x:v>5516009a-eecb-42dd-87f6-07c560161136</x:v>
      </x:c>
      <x:c r="B47" s="23" t="str">
        <x:v>Hair Food Aloe Vera Feuchtigkeits-Spülung</x:v>
      </x:c>
      <x:c r="C47" s="23" t="str">
        <x:v>repair_lubrication_protection</x:v>
      </x:c>
      <x:c r="D47" s="23" t="str">
        <x:v>candidate</x:v>
      </x:c>
      <x:c r="E47" s="23" t="str">
        <x:v>candidate</x:v>
      </x:c>
      <x:c r="F47" s="23" t="n">
        <x:v>2</x:v>
      </x:c>
      <x:c r="G47" s="23" t="n">
        <x:v>2</x:v>
      </x:c>
      <x:c r="H47" s="23" t="n">
        <x:f>IF(D47=E47,1,0)</x:f>
        <x:v>1</x:v>
      </x:c>
      <x:c r="I47" s="23" t="n">
        <x:f>IF(OR(F47="",G47=""),"",IF(ABS(F47-G47)&lt;=1,1,0))</x:f>
        <x:v>1</x:v>
      </x:c>
      <x:c r="J47" s="23" t="n">
        <x:f>IF(OR(F47="",G47=""),"",ABS(F47-G47))</x:f>
        <x:v>0</x:v>
      </x:c>
      <x:c r="K47" s="23" t="str">
        <x:v>exact</x:v>
      </x:c>
    </x:row>
    <x:row r="48">
      <x:c r="A48" s="23" t="str">
        <x:v>5516009a-eecb-42dd-87f6-07c560161136</x:v>
      </x:c>
      <x:c r="B48" s="23" t="str">
        <x:v>Hair Food Aloe Vera Feuchtigkeits-Spülung</x:v>
      </x:c>
      <x:c r="C48" s="23" t="str">
        <x:v>repair_surface_film</x:v>
      </x:c>
      <x:c r="D48" s="23" t="str">
        <x:v>none_visible</x:v>
      </x:c>
      <x:c r="E48" s="23" t="str">
        <x:v>candidate</x:v>
      </x:c>
      <x:c r="F48" s="23" t="n">
        <x:v>1</x:v>
      </x:c>
      <x:c r="G48" s="23" t="n">
        <x:v>2</x:v>
      </x:c>
      <x:c r="H48" s="23" t="n">
        <x:f>IF(D48=E48,1,0)</x:f>
        <x:v>0</x:v>
      </x:c>
      <x:c r="I48" s="23" t="n">
        <x:f>IF(OR(F48="",G48=""),"",IF(ABS(F48-G48)&lt;=1,1,0))</x:f>
        <x:v>1</x:v>
      </x:c>
      <x:c r="J48" s="23" t="n">
        <x:f>IF(OR(F48="",G48=""),"",ABS(F48-G48))</x:f>
        <x:v>1</x:v>
      </x:c>
      <x:c r="K48" s="23" t="str">
        <x:v>rheology_signal_overextension</x:v>
      </x:c>
    </x:row>
    <x:row r="49">
      <x:c r="A49" s="23" t="str">
        <x:v>5516009a-eecb-42dd-87f6-07c560161136</x:v>
      </x:c>
      <x:c r="B49" s="23" t="str">
        <x:v>Hair Food Aloe Vera Feuchtigkeits-Spülung</x:v>
      </x:c>
      <x:c r="C49" s="23" t="str">
        <x:v>bond_specific_support</x:v>
      </x:c>
      <x:c r="D49" s="23" t="str">
        <x:v>unknown</x:v>
      </x:c>
      <x:c r="E49" s="23" t="str">
        <x:v>unknown</x:v>
      </x:c>
      <x:c r="F49" s="23" t="str"/>
      <x:c r="G49" s="23" t="str"/>
      <x:c r="H49" s="23" t="n">
        <x:f>IF(D49=E49,1,0)</x:f>
        <x:v>1</x:v>
      </x:c>
      <x:c r="I49" s="23" t="str">
        <x:f>IF(OR(F49="",G49=""),"",IF(ABS(F49-G49)&lt;=1,1,0))</x:f>
      </x:c>
      <x:c r="J49" s="23" t="str">
        <x:f>IF(OR(F49="",G49=""),"",ABS(F49-G49))</x:f>
      </x:c>
      <x:c r="K49" s="23" t="str">
        <x:v>exact</x:v>
      </x:c>
    </x:row>
    <x:row r="50">
      <x:c r="A50" s="23" t="str">
        <x:v>5516009a-eecb-42dd-87f6-07c560161136</x:v>
      </x:c>
      <x:c r="B50" s="23" t="str">
        <x:v>Hair Food Aloe Vera Feuchtigkeits-Spülung</x:v>
      </x:c>
      <x:c r="C50" s="23" t="str">
        <x:v>color_chemical_damage_protection</x:v>
      </x:c>
      <x:c r="D50" s="23" t="str">
        <x:v>general_conditioning</x:v>
      </x:c>
      <x:c r="E50" s="23" t="str">
        <x:v>general_conditioning</x:v>
      </x:c>
      <x:c r="F50" s="23" t="n">
        <x:v>1</x:v>
      </x:c>
      <x:c r="G50" s="23" t="n">
        <x:v>1</x:v>
      </x:c>
      <x:c r="H50" s="23" t="n">
        <x:f>IF(D50=E50,1,0)</x:f>
        <x:v>1</x:v>
      </x:c>
      <x:c r="I50" s="23" t="n">
        <x:f>IF(OR(F50="",G50=""),"",IF(ABS(F50-G50)&lt;=1,1,0))</x:f>
        <x:v>1</x:v>
      </x:c>
      <x:c r="J50" s="23" t="n">
        <x:f>IF(OR(F50="",G50=""),"",ABS(F50-G50))</x:f>
        <x:v>0</x:v>
      </x:c>
      <x:c r="K50" s="23" t="str">
        <x:v>exact</x:v>
      </x:c>
    </x:row>
    <x:row r="51">
      <x:c r="A51" s="23" t="str">
        <x:v>5516009a-eecb-42dd-87f6-07c560161136</x:v>
      </x:c>
      <x:c r="B51" s="23" t="str">
        <x:v>Hair Food Aloe Vera Feuchtigkeits-Spülung</x:v>
      </x:c>
      <x:c r="C51" s="23" t="str">
        <x:v>fragrance_scalp_exposure</x:v>
      </x:c>
      <x:c r="D51" s="23" t="str">
        <x:v>aromatic_or_allergen_exposure</x:v>
      </x:c>
      <x:c r="E51" s="23" t="str">
        <x:v>aromatic_or_allergen_exposure</x:v>
      </x:c>
      <x:c r="F51" s="23" t="str"/>
      <x:c r="G51" s="23" t="str"/>
      <x:c r="H51" s="23" t="n">
        <x:f>IF(D51=E51,1,0)</x:f>
        <x:v>1</x:v>
      </x:c>
      <x:c r="I51" s="23" t="str">
        <x:f>IF(OR(F51="",G51=""),"",IF(ABS(F51-G51)&lt;=1,1,0))</x:f>
      </x:c>
      <x:c r="J51" s="23" t="str">
        <x:f>IF(OR(F51="",G51=""),"",ABS(F51-G51))</x:f>
      </x:c>
      <x:c r="K51" s="23" t="str">
        <x:v>exact</x:v>
      </x:c>
    </x:row>
    <x:row r="52">
      <x:c r="A52" s="23" t="str">
        <x:v>5516009a-eecb-42dd-87f6-07c560161136</x:v>
      </x:c>
      <x:c r="B52" s="23" t="str">
        <x:v>Hair Food Aloe Vera Feuchtigkeits-Spülung</x:v>
      </x:c>
      <x:c r="C52" s="23" t="str">
        <x:v>usage_role</x:v>
      </x:c>
      <x:c r="D52" s="23" t="str">
        <x:v>unknown</x:v>
      </x:c>
      <x:c r="E52" s="23" t="str">
        <x:v>unknown</x:v>
      </x:c>
      <x:c r="F52" s="23" t="str"/>
      <x:c r="G52" s="23" t="str"/>
      <x:c r="H52" s="23" t="n">
        <x:f>IF(D52=E52,1,0)</x:f>
        <x:v>1</x:v>
      </x:c>
      <x:c r="I52" s="23" t="str">
        <x:f>IF(OR(F52="",G52=""),"",IF(ABS(F52-G52)&lt;=1,1,0))</x:f>
      </x:c>
      <x:c r="J52" s="23" t="str">
        <x:f>IF(OR(F52="",G52=""),"",ABS(F52-G52))</x:f>
      </x:c>
      <x:c r="K52" s="23" t="str">
        <x:v>exact</x:v>
      </x:c>
    </x:row>
    <x:row r="53">
      <x:c r="A53" s="23" t="str">
        <x:v>952a4834-e451-4dc3-ba19-ebb8927eb5e4</x:v>
      </x:c>
      <x:c r="B53" s="23" t="str">
        <x:v>Volume Victory Conditioner</x:v>
      </x:c>
      <x:c r="C53" s="23" t="str">
        <x:v>conditioning_deposition_potential</x:v>
      </x:c>
      <x:c r="D53" s="23" t="str">
        <x:v>higher</x:v>
      </x:c>
      <x:c r="E53" s="23" t="str">
        <x:v>higher</x:v>
      </x:c>
      <x:c r="F53" s="23" t="n">
        <x:v>3</x:v>
      </x:c>
      <x:c r="G53" s="23" t="n">
        <x:v>3</x:v>
      </x:c>
      <x:c r="H53" s="23" t="n">
        <x:f>IF(D53=E53,1,0)</x:f>
        <x:v>1</x:v>
      </x:c>
      <x:c r="I53" s="23" t="n">
        <x:f>IF(OR(F53="",G53=""),"",IF(ABS(F53-G53)&lt;=1,1,0))</x:f>
        <x:v>1</x:v>
      </x:c>
      <x:c r="J53" s="23" t="n">
        <x:f>IF(OR(F53="",G53=""),"",ABS(F53-G53))</x:f>
        <x:v>0</x:v>
      </x:c>
      <x:c r="K53" s="23" t="str">
        <x:v>exact</x:v>
      </x:c>
    </x:row>
    <x:row r="54">
      <x:c r="A54" s="23" t="str">
        <x:v>952a4834-e451-4dc3-ba19-ebb8927eb5e4</x:v>
      </x:c>
      <x:c r="B54" s="23" t="str">
        <x:v>Volume Victory Conditioner</x:v>
      </x:c>
      <x:c r="C54" s="23" t="str">
        <x:v>wet_slip_detangling_potential</x:v>
      </x:c>
      <x:c r="D54" s="23" t="str">
        <x:v>higher</x:v>
      </x:c>
      <x:c r="E54" s="23" t="str">
        <x:v>higher</x:v>
      </x:c>
      <x:c r="F54" s="23" t="n">
        <x:v>3</x:v>
      </x:c>
      <x:c r="G54" s="23" t="n">
        <x:v>3</x:v>
      </x:c>
      <x:c r="H54" s="23" t="n">
        <x:f>IF(D54=E54,1,0)</x:f>
        <x:v>1</x:v>
      </x:c>
      <x:c r="I54" s="23" t="n">
        <x:f>IF(OR(F54="",G54=""),"",IF(ABS(F54-G54)&lt;=1,1,0))</x:f>
        <x:v>1</x:v>
      </x:c>
      <x:c r="J54" s="23" t="n">
        <x:f>IF(OR(F54="",G54=""),"",ABS(F54-G54))</x:f>
        <x:v>0</x:v>
      </x:c>
      <x:c r="K54" s="23" t="str">
        <x:v>exact</x:v>
      </x:c>
    </x:row>
    <x:row r="55">
      <x:c r="A55" s="23" t="str">
        <x:v>952a4834-e451-4dc3-ba19-ebb8927eb5e4</x:v>
      </x:c>
      <x:c r="B55" s="23" t="str">
        <x:v>Volume Victory Conditioner</x:v>
      </x:c>
      <x:c r="C55" s="23" t="str">
        <x:v>dry_combability_potential</x:v>
      </x:c>
      <x:c r="D55" s="23" t="str">
        <x:v>higher</x:v>
      </x:c>
      <x:c r="E55" s="23" t="str">
        <x:v>higher</x:v>
      </x:c>
      <x:c r="F55" s="23" t="n">
        <x:v>3</x:v>
      </x:c>
      <x:c r="G55" s="23" t="n">
        <x:v>3</x:v>
      </x:c>
      <x:c r="H55" s="23" t="n">
        <x:f>IF(D55=E55,1,0)</x:f>
        <x:v>1</x:v>
      </x:c>
      <x:c r="I55" s="23" t="n">
        <x:f>IF(OR(F55="",G55=""),"",IF(ABS(F55-G55)&lt;=1,1,0))</x:f>
        <x:v>1</x:v>
      </x:c>
      <x:c r="J55" s="23" t="n">
        <x:f>IF(OR(F55="",G55=""),"",ABS(F55-G55))</x:f>
        <x:v>0</x:v>
      </x:c>
      <x:c r="K55" s="23" t="str">
        <x:v>exact</x:v>
      </x:c>
    </x:row>
    <x:row r="56">
      <x:c r="A56" s="23" t="str">
        <x:v>952a4834-e451-4dc3-ba19-ebb8927eb5e4</x:v>
      </x:c>
      <x:c r="B56" s="23" t="str">
        <x:v>Volume Victory Conditioner</x:v>
      </x:c>
      <x:c r="C56" s="23" t="str">
        <x:v>surface_lubrication_softness_potential</x:v>
      </x:c>
      <x:c r="D56" s="23" t="str">
        <x:v>higher</x:v>
      </x:c>
      <x:c r="E56" s="23" t="str">
        <x:v>higher</x:v>
      </x:c>
      <x:c r="F56" s="23" t="n">
        <x:v>3</x:v>
      </x:c>
      <x:c r="G56" s="23" t="n">
        <x:v>3</x:v>
      </x:c>
      <x:c r="H56" s="23" t="n">
        <x:f>IF(D56=E56,1,0)</x:f>
        <x:v>1</x:v>
      </x:c>
      <x:c r="I56" s="23" t="n">
        <x:f>IF(OR(F56="",G56=""),"",IF(ABS(F56-G56)&lt;=1,1,0))</x:f>
        <x:v>1</x:v>
      </x:c>
      <x:c r="J56" s="23" t="n">
        <x:f>IF(OR(F56="",G56=""),"",ABS(F56-G56))</x:f>
        <x:v>0</x:v>
      </x:c>
      <x:c r="K56" s="23" t="str">
        <x:v>exact</x:v>
      </x:c>
    </x:row>
    <x:row r="57">
      <x:c r="A57" s="23" t="str">
        <x:v>952a4834-e451-4dc3-ba19-ebb8927eb5e4</x:v>
      </x:c>
      <x:c r="B57" s="23" t="str">
        <x:v>Volume Victory Conditioner</x:v>
      </x:c>
      <x:c r="C57" s="23" t="str">
        <x:v>smoothing_frizz_control_potential</x:v>
      </x:c>
      <x:c r="D57" s="23" t="str">
        <x:v>higher</x:v>
      </x:c>
      <x:c r="E57" s="23" t="str">
        <x:v>higher</x:v>
      </x:c>
      <x:c r="F57" s="23" t="n">
        <x:v>3</x:v>
      </x:c>
      <x:c r="G57" s="23" t="n">
        <x:v>3</x:v>
      </x:c>
      <x:c r="H57" s="23" t="n">
        <x:f>IF(D57=E57,1,0)</x:f>
        <x:v>1</x:v>
      </x:c>
      <x:c r="I57" s="23" t="n">
        <x:f>IF(OR(F57="",G57=""),"",IF(ABS(F57-G57)&lt;=1,1,0))</x:f>
        <x:v>1</x:v>
      </x:c>
      <x:c r="J57" s="23" t="n">
        <x:f>IF(OR(F57="",G57=""),"",ABS(F57-G57))</x:f>
        <x:v>0</x:v>
      </x:c>
      <x:c r="K57" s="23" t="str">
        <x:v>exact</x:v>
      </x:c>
    </x:row>
    <x:row r="58">
      <x:c r="A58" s="23" t="str">
        <x:v>952a4834-e451-4dc3-ba19-ebb8927eb5e4</x:v>
      </x:c>
      <x:c r="B58" s="23" t="str">
        <x:v>Volume Victory Conditioner</x:v>
      </x:c>
      <x:c r="C58" s="23" t="str">
        <x:v>shine_potential</x:v>
      </x:c>
      <x:c r="D58" s="23" t="str">
        <x:v>higher</x:v>
      </x:c>
      <x:c r="E58" s="23" t="str">
        <x:v>higher</x:v>
      </x:c>
      <x:c r="F58" s="23" t="n">
        <x:v>3</x:v>
      </x:c>
      <x:c r="G58" s="23" t="n">
        <x:v>3</x:v>
      </x:c>
      <x:c r="H58" s="23" t="n">
        <x:f>IF(D58=E58,1,0)</x:f>
        <x:v>1</x:v>
      </x:c>
      <x:c r="I58" s="23" t="n">
        <x:f>IF(OR(F58="",G58=""),"",IF(ABS(F58-G58)&lt;=1,1,0))</x:f>
        <x:v>1</x:v>
      </x:c>
      <x:c r="J58" s="23" t="n">
        <x:f>IF(OR(F58="",G58=""),"",ABS(F58-G58))</x:f>
        <x:v>0</x:v>
      </x:c>
      <x:c r="K58" s="23" t="str">
        <x:v>exact</x:v>
      </x:c>
    </x:row>
    <x:row r="59">
      <x:c r="A59" s="23" t="str">
        <x:v>952a4834-e451-4dc3-ba19-ebb8927eb5e4</x:v>
      </x:c>
      <x:c r="B59" s="23" t="str">
        <x:v>Volume Victory Conditioner</x:v>
      </x:c>
      <x:c r="C59" s="23" t="str">
        <x:v>weight_deposition_potential</x:v>
      </x:c>
      <x:c r="D59" s="23" t="str">
        <x:v>higher</x:v>
      </x:c>
      <x:c r="E59" s="23" t="str">
        <x:v>higher</x:v>
      </x:c>
      <x:c r="F59" s="23" t="n">
        <x:v>3</x:v>
      </x:c>
      <x:c r="G59" s="23" t="n">
        <x:v>3</x:v>
      </x:c>
      <x:c r="H59" s="23" t="n">
        <x:f>IF(D59=E59,1,0)</x:f>
        <x:v>1</x:v>
      </x:c>
      <x:c r="I59" s="23" t="n">
        <x:f>IF(OR(F59="",G59=""),"",IF(ABS(F59-G59)&lt;=1,1,0))</x:f>
        <x:v>1</x:v>
      </x:c>
      <x:c r="J59" s="23" t="n">
        <x:f>IF(OR(F59="",G59=""),"",ABS(F59-G59))</x:f>
        <x:v>0</x:v>
      </x:c>
      <x:c r="K59" s="23" t="str">
        <x:v>exact</x:v>
      </x:c>
    </x:row>
    <x:row r="60">
      <x:c r="A60" s="23" t="str">
        <x:v>952a4834-e451-4dc3-ba19-ebb8927eb5e4</x:v>
      </x:c>
      <x:c r="B60" s="23" t="str">
        <x:v>Volume Victory Conditioner</x:v>
      </x:c>
      <x:c r="C60" s="23" t="str">
        <x:v>rinse_behavior</x:v>
      </x:c>
      <x:c r="D60" s="23" t="str">
        <x:v>unknown</x:v>
      </x:c>
      <x:c r="E60" s="23" t="str">
        <x:v>unknown</x:v>
      </x:c>
      <x:c r="F60" s="23" t="str"/>
      <x:c r="G60" s="23" t="str"/>
      <x:c r="H60" s="23" t="n">
        <x:f>IF(D60=E60,1,0)</x:f>
        <x:v>1</x:v>
      </x:c>
      <x:c r="I60" s="23" t="str">
        <x:f>IF(OR(F60="",G60=""),"",IF(ABS(F60-G60)&lt;=1,1,0))</x:f>
      </x:c>
      <x:c r="J60" s="23" t="str">
        <x:f>IF(OR(F60="",G60=""),"",ABS(F60-G60))</x:f>
      </x:c>
      <x:c r="K60" s="23" t="str">
        <x:v>exact</x:v>
      </x:c>
    </x:row>
    <x:row r="61">
      <x:c r="A61" s="23" t="str">
        <x:v>952a4834-e451-4dc3-ba19-ebb8927eb5e4</x:v>
      </x:c>
      <x:c r="B61" s="23" t="str">
        <x:v>Volume Victory Conditioner</x:v>
      </x:c>
      <x:c r="C61" s="23" t="str">
        <x:v>cumulative_residue_risk</x:v>
      </x:c>
      <x:c r="D61" s="23" t="str">
        <x:v>indeterminate</x:v>
      </x:c>
      <x:c r="E61" s="23" t="str">
        <x:v>indeterminate</x:v>
      </x:c>
      <x:c r="F61" s="23" t="str"/>
      <x:c r="G61" s="23" t="str"/>
      <x:c r="H61" s="23" t="n">
        <x:f>IF(D61=E61,1,0)</x:f>
        <x:v>1</x:v>
      </x:c>
      <x:c r="I61" s="23" t="str">
        <x:f>IF(OR(F61="",G61=""),"",IF(ABS(F61-G61)&lt;=1,1,0))</x:f>
      </x:c>
      <x:c r="J61" s="23" t="str">
        <x:f>IF(OR(F61="",G61=""),"",ABS(F61-G61))</x:f>
      </x:c>
      <x:c r="K61" s="23" t="str">
        <x:v>exact</x:v>
      </x:c>
    </x:row>
    <x:row r="62">
      <x:c r="A62" s="23" t="str">
        <x:v>952a4834-e451-4dc3-ba19-ebb8927eb5e4</x:v>
      </x:c>
      <x:c r="B62" s="23" t="str">
        <x:v>Volume Victory Conditioner</x:v>
      </x:c>
      <x:c r="C62" s="23" t="str">
        <x:v>body_lightness_potential</x:v>
      </x:c>
      <x:c r="D62" s="23" t="str">
        <x:v>likely_depositing</x:v>
      </x:c>
      <x:c r="E62" s="23" t="str">
        <x:v>likely_depositing</x:v>
      </x:c>
      <x:c r="F62" s="23" t="n">
        <x:v>3</x:v>
      </x:c>
      <x:c r="G62" s="23" t="n">
        <x:v>3</x:v>
      </x:c>
      <x:c r="H62" s="23" t="n">
        <x:f>IF(D62=E62,1,0)</x:f>
        <x:v>1</x:v>
      </x:c>
      <x:c r="I62" s="23" t="n">
        <x:f>IF(OR(F62="",G62=""),"",IF(ABS(F62-G62)&lt;=1,1,0))</x:f>
        <x:v>1</x:v>
      </x:c>
      <x:c r="J62" s="23" t="n">
        <x:f>IF(OR(F62="",G62=""),"",ABS(F62-G62))</x:f>
        <x:v>0</x:v>
      </x:c>
      <x:c r="K62" s="23" t="str">
        <x:v>exact</x:v>
      </x:c>
    </x:row>
    <x:row r="63">
      <x:c r="A63" s="23" t="str">
        <x:v>952a4834-e451-4dc3-ba19-ebb8927eb5e4</x:v>
      </x:c>
      <x:c r="B63" s="23" t="str">
        <x:v>Volume Victory Conditioner</x:v>
      </x:c>
      <x:c r="C63" s="23" t="str">
        <x:v>repair_lubrication_protection</x:v>
      </x:c>
      <x:c r="D63" s="23" t="str">
        <x:v>candidate</x:v>
      </x:c>
      <x:c r="E63" s="23" t="str">
        <x:v>candidate</x:v>
      </x:c>
      <x:c r="F63" s="23" t="n">
        <x:v>2</x:v>
      </x:c>
      <x:c r="G63" s="23" t="n">
        <x:v>2</x:v>
      </x:c>
      <x:c r="H63" s="23" t="n">
        <x:f>IF(D63=E63,1,0)</x:f>
        <x:v>1</x:v>
      </x:c>
      <x:c r="I63" s="23" t="n">
        <x:f>IF(OR(F63="",G63=""),"",IF(ABS(F63-G63)&lt;=1,1,0))</x:f>
        <x:v>1</x:v>
      </x:c>
      <x:c r="J63" s="23" t="n">
        <x:f>IF(OR(F63="",G63=""),"",ABS(F63-G63))</x:f>
        <x:v>0</x:v>
      </x:c>
      <x:c r="K63" s="23" t="str">
        <x:v>exact</x:v>
      </x:c>
    </x:row>
    <x:row r="64">
      <x:c r="A64" s="23" t="str">
        <x:v>952a4834-e451-4dc3-ba19-ebb8927eb5e4</x:v>
      </x:c>
      <x:c r="B64" s="23" t="str">
        <x:v>Volume Victory Conditioner</x:v>
      </x:c>
      <x:c r="C64" s="23" t="str">
        <x:v>repair_surface_film</x:v>
      </x:c>
      <x:c r="D64" s="23" t="str">
        <x:v>candidate</x:v>
      </x:c>
      <x:c r="E64" s="23" t="str">
        <x:v>candidate</x:v>
      </x:c>
      <x:c r="F64" s="23" t="n">
        <x:v>2</x:v>
      </x:c>
      <x:c r="G64" s="23" t="n">
        <x:v>2</x:v>
      </x:c>
      <x:c r="H64" s="23" t="n">
        <x:f>IF(D64=E64,1,0)</x:f>
        <x:v>1</x:v>
      </x:c>
      <x:c r="I64" s="23" t="n">
        <x:f>IF(OR(F64="",G64=""),"",IF(ABS(F64-G64)&lt;=1,1,0))</x:f>
        <x:v>1</x:v>
      </x:c>
      <x:c r="J64" s="23" t="n">
        <x:f>IF(OR(F64="",G64=""),"",ABS(F64-G64))</x:f>
        <x:v>0</x:v>
      </x:c>
      <x:c r="K64" s="23" t="str">
        <x:v>exact</x:v>
      </x:c>
    </x:row>
    <x:row r="65">
      <x:c r="A65" s="23" t="str">
        <x:v>952a4834-e451-4dc3-ba19-ebb8927eb5e4</x:v>
      </x:c>
      <x:c r="B65" s="23" t="str">
        <x:v>Volume Victory Conditioner</x:v>
      </x:c>
      <x:c r="C65" s="23" t="str">
        <x:v>bond_specific_support</x:v>
      </x:c>
      <x:c r="D65" s="23" t="str">
        <x:v>unknown</x:v>
      </x:c>
      <x:c r="E65" s="23" t="str">
        <x:v>unknown</x:v>
      </x:c>
      <x:c r="F65" s="23" t="str"/>
      <x:c r="G65" s="23" t="str"/>
      <x:c r="H65" s="23" t="n">
        <x:f>IF(D65=E65,1,0)</x:f>
        <x:v>1</x:v>
      </x:c>
      <x:c r="I65" s="23" t="str">
        <x:f>IF(OR(F65="",G65=""),"",IF(ABS(F65-G65)&lt;=1,1,0))</x:f>
      </x:c>
      <x:c r="J65" s="23" t="str">
        <x:f>IF(OR(F65="",G65=""),"",ABS(F65-G65))</x:f>
      </x:c>
      <x:c r="K65" s="23" t="str">
        <x:v>exact</x:v>
      </x:c>
    </x:row>
    <x:row r="66">
      <x:c r="A66" s="23" t="str">
        <x:v>952a4834-e451-4dc3-ba19-ebb8927eb5e4</x:v>
      </x:c>
      <x:c r="B66" s="23" t="str">
        <x:v>Volume Victory Conditioner</x:v>
      </x:c>
      <x:c r="C66" s="23" t="str">
        <x:v>color_chemical_damage_protection</x:v>
      </x:c>
      <x:c r="D66" s="23" t="str">
        <x:v>general_conditioning</x:v>
      </x:c>
      <x:c r="E66" s="23" t="str">
        <x:v>general_conditioning</x:v>
      </x:c>
      <x:c r="F66" s="23" t="n">
        <x:v>1</x:v>
      </x:c>
      <x:c r="G66" s="23" t="n">
        <x:v>1</x:v>
      </x:c>
      <x:c r="H66" s="23" t="n">
        <x:f>IF(D66=E66,1,0)</x:f>
        <x:v>1</x:v>
      </x:c>
      <x:c r="I66" s="23" t="n">
        <x:f>IF(OR(F66="",G66=""),"",IF(ABS(F66-G66)&lt;=1,1,0))</x:f>
        <x:v>1</x:v>
      </x:c>
      <x:c r="J66" s="23" t="n">
        <x:f>IF(OR(F66="",G66=""),"",ABS(F66-G66))</x:f>
        <x:v>0</x:v>
      </x:c>
      <x:c r="K66" s="23" t="str">
        <x:v>exact</x:v>
      </x:c>
    </x:row>
    <x:row r="67">
      <x:c r="A67" s="23" t="str">
        <x:v>952a4834-e451-4dc3-ba19-ebb8927eb5e4</x:v>
      </x:c>
      <x:c r="B67" s="23" t="str">
        <x:v>Volume Victory Conditioner</x:v>
      </x:c>
      <x:c r="C67" s="23" t="str">
        <x:v>fragrance_scalp_exposure</x:v>
      </x:c>
      <x:c r="D67" s="23" t="str">
        <x:v>aromatic_or_allergen_exposure</x:v>
      </x:c>
      <x:c r="E67" s="23" t="str">
        <x:v>aromatic_or_allergen_exposure</x:v>
      </x:c>
      <x:c r="F67" s="23" t="str"/>
      <x:c r="G67" s="23" t="str"/>
      <x:c r="H67" s="23" t="n">
        <x:f>IF(D67=E67,1,0)</x:f>
        <x:v>1</x:v>
      </x:c>
      <x:c r="I67" s="23" t="str">
        <x:f>IF(OR(F67="",G67=""),"",IF(ABS(F67-G67)&lt;=1,1,0))</x:f>
      </x:c>
      <x:c r="J67" s="23" t="str">
        <x:f>IF(OR(F67="",G67=""),"",ABS(F67-G67))</x:f>
      </x:c>
      <x:c r="K67" s="23" t="str">
        <x:v>exact</x:v>
      </x:c>
    </x:row>
    <x:row r="68">
      <x:c r="A68" s="23" t="str">
        <x:v>952a4834-e451-4dc3-ba19-ebb8927eb5e4</x:v>
      </x:c>
      <x:c r="B68" s="23" t="str">
        <x:v>Volume Victory Conditioner</x:v>
      </x:c>
      <x:c r="C68" s="23" t="str">
        <x:v>usage_role</x:v>
      </x:c>
      <x:c r="D68" s="23" t="str">
        <x:v>unknown</x:v>
      </x:c>
      <x:c r="E68" s="23" t="str">
        <x:v>unknown</x:v>
      </x:c>
      <x:c r="F68" s="23" t="str"/>
      <x:c r="G68" s="23" t="str"/>
      <x:c r="H68" s="23" t="n">
        <x:f>IF(D68=E68,1,0)</x:f>
        <x:v>1</x:v>
      </x:c>
      <x:c r="I68" s="23" t="str">
        <x:f>IF(OR(F68="",G68=""),"",IF(ABS(F68-G68)&lt;=1,1,0))</x:f>
      </x:c>
      <x:c r="J68" s="23" t="str">
        <x:f>IF(OR(F68="",G68=""),"",ABS(F68-G68))</x:f>
      </x:c>
      <x:c r="K68" s="23" t="str">
        <x:v>exact</x:v>
      </x:c>
    </x:row>
    <x:row r="69">
      <x:c r="A69" s="23" t="str">
        <x:v>62ff4f08-3ff2-49f3-9e93-e6fd0f395a4d</x:v>
      </x:c>
      <x:c r="B69" s="23" t="str">
        <x:v>Frizz Ease Wunder-Reparatur Conditioner</x:v>
      </x:c>
      <x:c r="C69" s="23" t="str">
        <x:v>conditioning_deposition_potential</x:v>
      </x:c>
      <x:c r="D69" s="23" t="str">
        <x:v>higher</x:v>
      </x:c>
      <x:c r="E69" s="23" t="str">
        <x:v>higher</x:v>
      </x:c>
      <x:c r="F69" s="23" t="n">
        <x:v>3</x:v>
      </x:c>
      <x:c r="G69" s="23" t="n">
        <x:v>3</x:v>
      </x:c>
      <x:c r="H69" s="23" t="n">
        <x:f>IF(D69=E69,1,0)</x:f>
        <x:v>1</x:v>
      </x:c>
      <x:c r="I69" s="23" t="n">
        <x:f>IF(OR(F69="",G69=""),"",IF(ABS(F69-G69)&lt;=1,1,0))</x:f>
        <x:v>1</x:v>
      </x:c>
      <x:c r="J69" s="23" t="n">
        <x:f>IF(OR(F69="",G69=""),"",ABS(F69-G69))</x:f>
        <x:v>0</x:v>
      </x:c>
      <x:c r="K69" s="23" t="str">
        <x:v>exact</x:v>
      </x:c>
    </x:row>
    <x:row r="70">
      <x:c r="A70" s="23" t="str">
        <x:v>62ff4f08-3ff2-49f3-9e93-e6fd0f395a4d</x:v>
      </x:c>
      <x:c r="B70" s="23" t="str">
        <x:v>Frizz Ease Wunder-Reparatur Conditioner</x:v>
      </x:c>
      <x:c r="C70" s="23" t="str">
        <x:v>wet_slip_detangling_potential</x:v>
      </x:c>
      <x:c r="D70" s="23" t="str">
        <x:v>higher</x:v>
      </x:c>
      <x:c r="E70" s="23" t="str">
        <x:v>higher</x:v>
      </x:c>
      <x:c r="F70" s="23" t="n">
        <x:v>3</x:v>
      </x:c>
      <x:c r="G70" s="23" t="n">
        <x:v>3</x:v>
      </x:c>
      <x:c r="H70" s="23" t="n">
        <x:f>IF(D70=E70,1,0)</x:f>
        <x:v>1</x:v>
      </x:c>
      <x:c r="I70" s="23" t="n">
        <x:f>IF(OR(F70="",G70=""),"",IF(ABS(F70-G70)&lt;=1,1,0))</x:f>
        <x:v>1</x:v>
      </x:c>
      <x:c r="J70" s="23" t="n">
        <x:f>IF(OR(F70="",G70=""),"",ABS(F70-G70))</x:f>
        <x:v>0</x:v>
      </x:c>
      <x:c r="K70" s="23" t="str">
        <x:v>exact</x:v>
      </x:c>
    </x:row>
    <x:row r="71">
      <x:c r="A71" s="23" t="str">
        <x:v>62ff4f08-3ff2-49f3-9e93-e6fd0f395a4d</x:v>
      </x:c>
      <x:c r="B71" s="23" t="str">
        <x:v>Frizz Ease Wunder-Reparatur Conditioner</x:v>
      </x:c>
      <x:c r="C71" s="23" t="str">
        <x:v>dry_combability_potential</x:v>
      </x:c>
      <x:c r="D71" s="23" t="str">
        <x:v>higher</x:v>
      </x:c>
      <x:c r="E71" s="23" t="str">
        <x:v>higher</x:v>
      </x:c>
      <x:c r="F71" s="23" t="n">
        <x:v>3</x:v>
      </x:c>
      <x:c r="G71" s="23" t="n">
        <x:v>3</x:v>
      </x:c>
      <x:c r="H71" s="23" t="n">
        <x:f>IF(D71=E71,1,0)</x:f>
        <x:v>1</x:v>
      </x:c>
      <x:c r="I71" s="23" t="n">
        <x:f>IF(OR(F71="",G71=""),"",IF(ABS(F71-G71)&lt;=1,1,0))</x:f>
        <x:v>1</x:v>
      </x:c>
      <x:c r="J71" s="23" t="n">
        <x:f>IF(OR(F71="",G71=""),"",ABS(F71-G71))</x:f>
        <x:v>0</x:v>
      </x:c>
      <x:c r="K71" s="23" t="str">
        <x:v>exact</x:v>
      </x:c>
    </x:row>
    <x:row r="72">
      <x:c r="A72" s="23" t="str">
        <x:v>62ff4f08-3ff2-49f3-9e93-e6fd0f395a4d</x:v>
      </x:c>
      <x:c r="B72" s="23" t="str">
        <x:v>Frizz Ease Wunder-Reparatur Conditioner</x:v>
      </x:c>
      <x:c r="C72" s="23" t="str">
        <x:v>surface_lubrication_softness_potential</x:v>
      </x:c>
      <x:c r="D72" s="23" t="str">
        <x:v>higher</x:v>
      </x:c>
      <x:c r="E72" s="23" t="str">
        <x:v>higher</x:v>
      </x:c>
      <x:c r="F72" s="23" t="n">
        <x:v>3</x:v>
      </x:c>
      <x:c r="G72" s="23" t="n">
        <x:v>3</x:v>
      </x:c>
      <x:c r="H72" s="23" t="n">
        <x:f>IF(D72=E72,1,0)</x:f>
        <x:v>1</x:v>
      </x:c>
      <x:c r="I72" s="23" t="n">
        <x:f>IF(OR(F72="",G72=""),"",IF(ABS(F72-G72)&lt;=1,1,0))</x:f>
        <x:v>1</x:v>
      </x:c>
      <x:c r="J72" s="23" t="n">
        <x:f>IF(OR(F72="",G72=""),"",ABS(F72-G72))</x:f>
        <x:v>0</x:v>
      </x:c>
      <x:c r="K72" s="23" t="str">
        <x:v>exact</x:v>
      </x:c>
    </x:row>
    <x:row r="73">
      <x:c r="A73" s="23" t="str">
        <x:v>62ff4f08-3ff2-49f3-9e93-e6fd0f395a4d</x:v>
      </x:c>
      <x:c r="B73" s="23" t="str">
        <x:v>Frizz Ease Wunder-Reparatur Conditioner</x:v>
      </x:c>
      <x:c r="C73" s="23" t="str">
        <x:v>smoothing_frizz_control_potential</x:v>
      </x:c>
      <x:c r="D73" s="23" t="str">
        <x:v>higher</x:v>
      </x:c>
      <x:c r="E73" s="23" t="str">
        <x:v>higher</x:v>
      </x:c>
      <x:c r="F73" s="23" t="n">
        <x:v>3</x:v>
      </x:c>
      <x:c r="G73" s="23" t="n">
        <x:v>3</x:v>
      </x:c>
      <x:c r="H73" s="23" t="n">
        <x:f>IF(D73=E73,1,0)</x:f>
        <x:v>1</x:v>
      </x:c>
      <x:c r="I73" s="23" t="n">
        <x:f>IF(OR(F73="",G73=""),"",IF(ABS(F73-G73)&lt;=1,1,0))</x:f>
        <x:v>1</x:v>
      </x:c>
      <x:c r="J73" s="23" t="n">
        <x:f>IF(OR(F73="",G73=""),"",ABS(F73-G73))</x:f>
        <x:v>0</x:v>
      </x:c>
      <x:c r="K73" s="23" t="str">
        <x:v>exact</x:v>
      </x:c>
    </x:row>
    <x:row r="74">
      <x:c r="A74" s="23" t="str">
        <x:v>62ff4f08-3ff2-49f3-9e93-e6fd0f395a4d</x:v>
      </x:c>
      <x:c r="B74" s="23" t="str">
        <x:v>Frizz Ease Wunder-Reparatur Conditioner</x:v>
      </x:c>
      <x:c r="C74" s="23" t="str">
        <x:v>shine_potential</x:v>
      </x:c>
      <x:c r="D74" s="23" t="str">
        <x:v>moderate</x:v>
      </x:c>
      <x:c r="E74" s="23" t="str">
        <x:v>moderate</x:v>
      </x:c>
      <x:c r="F74" s="23" t="n">
        <x:v>2</x:v>
      </x:c>
      <x:c r="G74" s="23" t="n">
        <x:v>2</x:v>
      </x:c>
      <x:c r="H74" s="23" t="n">
        <x:f>IF(D74=E74,1,0)</x:f>
        <x:v>1</x:v>
      </x:c>
      <x:c r="I74" s="23" t="n">
        <x:f>IF(OR(F74="",G74=""),"",IF(ABS(F74-G74)&lt;=1,1,0))</x:f>
        <x:v>1</x:v>
      </x:c>
      <x:c r="J74" s="23" t="n">
        <x:f>IF(OR(F74="",G74=""),"",ABS(F74-G74))</x:f>
        <x:v>0</x:v>
      </x:c>
      <x:c r="K74" s="23" t="str">
        <x:v>exact</x:v>
      </x:c>
    </x:row>
    <x:row r="75">
      <x:c r="A75" s="23" t="str">
        <x:v>62ff4f08-3ff2-49f3-9e93-e6fd0f395a4d</x:v>
      </x:c>
      <x:c r="B75" s="23" t="str">
        <x:v>Frizz Ease Wunder-Reparatur Conditioner</x:v>
      </x:c>
      <x:c r="C75" s="23" t="str">
        <x:v>weight_deposition_potential</x:v>
      </x:c>
      <x:c r="D75" s="23" t="str">
        <x:v>higher</x:v>
      </x:c>
      <x:c r="E75" s="23" t="str">
        <x:v>higher</x:v>
      </x:c>
      <x:c r="F75" s="23" t="n">
        <x:v>3</x:v>
      </x:c>
      <x:c r="G75" s="23" t="n">
        <x:v>3</x:v>
      </x:c>
      <x:c r="H75" s="23" t="n">
        <x:f>IF(D75=E75,1,0)</x:f>
        <x:v>1</x:v>
      </x:c>
      <x:c r="I75" s="23" t="n">
        <x:f>IF(OR(F75="",G75=""),"",IF(ABS(F75-G75)&lt;=1,1,0))</x:f>
        <x:v>1</x:v>
      </x:c>
      <x:c r="J75" s="23" t="n">
        <x:f>IF(OR(F75="",G75=""),"",ABS(F75-G75))</x:f>
        <x:v>0</x:v>
      </x:c>
      <x:c r="K75" s="23" t="str">
        <x:v>exact</x:v>
      </x:c>
    </x:row>
    <x:row r="76">
      <x:c r="A76" s="23" t="str">
        <x:v>62ff4f08-3ff2-49f3-9e93-e6fd0f395a4d</x:v>
      </x:c>
      <x:c r="B76" s="23" t="str">
        <x:v>Frizz Ease Wunder-Reparatur Conditioner</x:v>
      </x:c>
      <x:c r="C76" s="23" t="str">
        <x:v>rinse_behavior</x:v>
      </x:c>
      <x:c r="D76" s="23" t="str">
        <x:v>unknown</x:v>
      </x:c>
      <x:c r="E76" s="23" t="str">
        <x:v>unknown</x:v>
      </x:c>
      <x:c r="F76" s="23" t="str"/>
      <x:c r="G76" s="23" t="str"/>
      <x:c r="H76" s="23" t="n">
        <x:f>IF(D76=E76,1,0)</x:f>
        <x:v>1</x:v>
      </x:c>
      <x:c r="I76" s="23" t="str">
        <x:f>IF(OR(F76="",G76=""),"",IF(ABS(F76-G76)&lt;=1,1,0))</x:f>
      </x:c>
      <x:c r="J76" s="23" t="str">
        <x:f>IF(OR(F76="",G76=""),"",ABS(F76-G76))</x:f>
      </x:c>
      <x:c r="K76" s="23" t="str">
        <x:v>exact</x:v>
      </x:c>
    </x:row>
    <x:row r="77">
      <x:c r="A77" s="23" t="str">
        <x:v>62ff4f08-3ff2-49f3-9e93-e6fd0f395a4d</x:v>
      </x:c>
      <x:c r="B77" s="23" t="str">
        <x:v>Frizz Ease Wunder-Reparatur Conditioner</x:v>
      </x:c>
      <x:c r="C77" s="23" t="str">
        <x:v>cumulative_residue_risk</x:v>
      </x:c>
      <x:c r="D77" s="23" t="str">
        <x:v>indeterminate</x:v>
      </x:c>
      <x:c r="E77" s="23" t="str">
        <x:v>indeterminate</x:v>
      </x:c>
      <x:c r="F77" s="23" t="str"/>
      <x:c r="G77" s="23" t="str"/>
      <x:c r="H77" s="23" t="n">
        <x:f>IF(D77=E77,1,0)</x:f>
        <x:v>1</x:v>
      </x:c>
      <x:c r="I77" s="23" t="str">
        <x:f>IF(OR(F77="",G77=""),"",IF(ABS(F77-G77)&lt;=1,1,0))</x:f>
      </x:c>
      <x:c r="J77" s="23" t="str">
        <x:f>IF(OR(F77="",G77=""),"",ABS(F77-G77))</x:f>
      </x:c>
      <x:c r="K77" s="23" t="str">
        <x:v>exact</x:v>
      </x:c>
    </x:row>
    <x:row r="78">
      <x:c r="A78" s="23" t="str">
        <x:v>62ff4f08-3ff2-49f3-9e93-e6fd0f395a4d</x:v>
      </x:c>
      <x:c r="B78" s="23" t="str">
        <x:v>Frizz Ease Wunder-Reparatur Conditioner</x:v>
      </x:c>
      <x:c r="C78" s="23" t="str">
        <x:v>body_lightness_potential</x:v>
      </x:c>
      <x:c r="D78" s="23" t="str">
        <x:v>likely_depositing</x:v>
      </x:c>
      <x:c r="E78" s="23" t="str">
        <x:v>likely_depositing</x:v>
      </x:c>
      <x:c r="F78" s="23" t="n">
        <x:v>3</x:v>
      </x:c>
      <x:c r="G78" s="23" t="n">
        <x:v>3</x:v>
      </x:c>
      <x:c r="H78" s="23" t="n">
        <x:f>IF(D78=E78,1,0)</x:f>
        <x:v>1</x:v>
      </x:c>
      <x:c r="I78" s="23" t="n">
        <x:f>IF(OR(F78="",G78=""),"",IF(ABS(F78-G78)&lt;=1,1,0))</x:f>
        <x:v>1</x:v>
      </x:c>
      <x:c r="J78" s="23" t="n">
        <x:f>IF(OR(F78="",G78=""),"",ABS(F78-G78))</x:f>
        <x:v>0</x:v>
      </x:c>
      <x:c r="K78" s="23" t="str">
        <x:v>exact</x:v>
      </x:c>
    </x:row>
    <x:row r="79">
      <x:c r="A79" s="23" t="str">
        <x:v>62ff4f08-3ff2-49f3-9e93-e6fd0f395a4d</x:v>
      </x:c>
      <x:c r="B79" s="23" t="str">
        <x:v>Frizz Ease Wunder-Reparatur Conditioner</x:v>
      </x:c>
      <x:c r="C79" s="23" t="str">
        <x:v>repair_lubrication_protection</x:v>
      </x:c>
      <x:c r="D79" s="23" t="str">
        <x:v>candidate</x:v>
      </x:c>
      <x:c r="E79" s="23" t="str">
        <x:v>candidate</x:v>
      </x:c>
      <x:c r="F79" s="23" t="n">
        <x:v>2</x:v>
      </x:c>
      <x:c r="G79" s="23" t="n">
        <x:v>2</x:v>
      </x:c>
      <x:c r="H79" s="23" t="n">
        <x:f>IF(D79=E79,1,0)</x:f>
        <x:v>1</x:v>
      </x:c>
      <x:c r="I79" s="23" t="n">
        <x:f>IF(OR(F79="",G79=""),"",IF(ABS(F79-G79)&lt;=1,1,0))</x:f>
        <x:v>1</x:v>
      </x:c>
      <x:c r="J79" s="23" t="n">
        <x:f>IF(OR(F79="",G79=""),"",ABS(F79-G79))</x:f>
        <x:v>0</x:v>
      </x:c>
      <x:c r="K79" s="23" t="str">
        <x:v>exact</x:v>
      </x:c>
    </x:row>
    <x:row r="80">
      <x:c r="A80" s="23" t="str">
        <x:v>62ff4f08-3ff2-49f3-9e93-e6fd0f395a4d</x:v>
      </x:c>
      <x:c r="B80" s="23" t="str">
        <x:v>Frizz Ease Wunder-Reparatur Conditioner</x:v>
      </x:c>
      <x:c r="C80" s="23" t="str">
        <x:v>repair_surface_film</x:v>
      </x:c>
      <x:c r="D80" s="23" t="str">
        <x:v>none_visible</x:v>
      </x:c>
      <x:c r="E80" s="23" t="str">
        <x:v>none_visible</x:v>
      </x:c>
      <x:c r="F80" s="23" t="n">
        <x:v>1</x:v>
      </x:c>
      <x:c r="G80" s="23" t="n">
        <x:v>1</x:v>
      </x:c>
      <x:c r="H80" s="23" t="n">
        <x:f>IF(D80=E80,1,0)</x:f>
        <x:v>1</x:v>
      </x:c>
      <x:c r="I80" s="23" t="n">
        <x:f>IF(OR(F80="",G80=""),"",IF(ABS(F80-G80)&lt;=1,1,0))</x:f>
        <x:v>1</x:v>
      </x:c>
      <x:c r="J80" s="23" t="n">
        <x:f>IF(OR(F80="",G80=""),"",ABS(F80-G80))</x:f>
        <x:v>0</x:v>
      </x:c>
      <x:c r="K80" s="23" t="str">
        <x:v>exact</x:v>
      </x:c>
    </x:row>
    <x:row r="81">
      <x:c r="A81" s="23" t="str">
        <x:v>62ff4f08-3ff2-49f3-9e93-e6fd0f395a4d</x:v>
      </x:c>
      <x:c r="B81" s="23" t="str">
        <x:v>Frizz Ease Wunder-Reparatur Conditioner</x:v>
      </x:c>
      <x:c r="C81" s="23" t="str">
        <x:v>bond_specific_support</x:v>
      </x:c>
      <x:c r="D81" s="23" t="str">
        <x:v>unknown</x:v>
      </x:c>
      <x:c r="E81" s="23" t="str">
        <x:v>claim_only</x:v>
      </x:c>
      <x:c r="F81" s="23" t="str"/>
      <x:c r="G81" s="23" t="n">
        <x:v>1</x:v>
      </x:c>
      <x:c r="H81" s="23" t="n">
        <x:f>IF(D81=E81,1,0)</x:f>
        <x:v>0</x:v>
      </x:c>
      <x:c r="I81" s="23" t="str">
        <x:f>IF(OR(F81="",G81=""),"",IF(ABS(F81-G81)&lt;=1,1,0))</x:f>
      </x:c>
      <x:c r="J81" s="23" t="str">
        <x:f>IF(OR(F81="",G81=""),"",ABS(F81-G81))</x:f>
      </x:c>
      <x:c r="K81" s="23" t="str">
        <x:v>claim_scope_ambiguity</x:v>
      </x:c>
    </x:row>
    <x:row r="82">
      <x:c r="A82" s="23" t="str">
        <x:v>62ff4f08-3ff2-49f3-9e93-e6fd0f395a4d</x:v>
      </x:c>
      <x:c r="B82" s="23" t="str">
        <x:v>Frizz Ease Wunder-Reparatur Conditioner</x:v>
      </x:c>
      <x:c r="C82" s="23" t="str">
        <x:v>color_chemical_damage_protection</x:v>
      </x:c>
      <x:c r="D82" s="23" t="str">
        <x:v>general_conditioning</x:v>
      </x:c>
      <x:c r="E82" s="23" t="str">
        <x:v>general_conditioning</x:v>
      </x:c>
      <x:c r="F82" s="23" t="n">
        <x:v>1</x:v>
      </x:c>
      <x:c r="G82" s="23" t="n">
        <x:v>1</x:v>
      </x:c>
      <x:c r="H82" s="23" t="n">
        <x:f>IF(D82=E82,1,0)</x:f>
        <x:v>1</x:v>
      </x:c>
      <x:c r="I82" s="23" t="n">
        <x:f>IF(OR(F82="",G82=""),"",IF(ABS(F82-G82)&lt;=1,1,0))</x:f>
        <x:v>1</x:v>
      </x:c>
      <x:c r="J82" s="23" t="n">
        <x:f>IF(OR(F82="",G82=""),"",ABS(F82-G82))</x:f>
        <x:v>0</x:v>
      </x:c>
      <x:c r="K82" s="23" t="str">
        <x:v>exact</x:v>
      </x:c>
    </x:row>
    <x:row r="83">
      <x:c r="A83" s="23" t="str">
        <x:v>62ff4f08-3ff2-49f3-9e93-e6fd0f395a4d</x:v>
      </x:c>
      <x:c r="B83" s="23" t="str">
        <x:v>Frizz Ease Wunder-Reparatur Conditioner</x:v>
      </x:c>
      <x:c r="C83" s="23" t="str">
        <x:v>fragrance_scalp_exposure</x:v>
      </x:c>
      <x:c r="D83" s="23" t="str">
        <x:v>aromatic_or_allergen_exposure</x:v>
      </x:c>
      <x:c r="E83" s="23" t="str">
        <x:v>aromatic_or_allergen_exposure</x:v>
      </x:c>
      <x:c r="F83" s="23" t="str"/>
      <x:c r="G83" s="23" t="str"/>
      <x:c r="H83" s="23" t="n">
        <x:f>IF(D83=E83,1,0)</x:f>
        <x:v>1</x:v>
      </x:c>
      <x:c r="I83" s="23" t="str">
        <x:f>IF(OR(F83="",G83=""),"",IF(ABS(F83-G83)&lt;=1,1,0))</x:f>
      </x:c>
      <x:c r="J83" s="23" t="str">
        <x:f>IF(OR(F83="",G83=""),"",ABS(F83-G83))</x:f>
      </x:c>
      <x:c r="K83" s="23" t="str">
        <x:v>exact</x:v>
      </x:c>
    </x:row>
    <x:row r="84">
      <x:c r="A84" s="23" t="str">
        <x:v>62ff4f08-3ff2-49f3-9e93-e6fd0f395a4d</x:v>
      </x:c>
      <x:c r="B84" s="23" t="str">
        <x:v>Frizz Ease Wunder-Reparatur Conditioner</x:v>
      </x:c>
      <x:c r="C84" s="23" t="str">
        <x:v>usage_role</x:v>
      </x:c>
      <x:c r="D84" s="23" t="str">
        <x:v>unknown</x:v>
      </x:c>
      <x:c r="E84" s="23" t="str">
        <x:v>unknown</x:v>
      </x:c>
      <x:c r="F84" s="23" t="str"/>
      <x:c r="G84" s="23" t="str"/>
      <x:c r="H84" s="23" t="n">
        <x:f>IF(D84=E84,1,0)</x:f>
        <x:v>1</x:v>
      </x:c>
      <x:c r="I84" s="23" t="str">
        <x:f>IF(OR(F84="",G84=""),"",IF(ABS(F84-G84)&lt;=1,1,0))</x:f>
      </x:c>
      <x:c r="J84" s="23" t="str">
        <x:f>IF(OR(F84="",G84=""),"",ABS(F84-G84))</x:f>
      </x:c>
      <x:c r="K84" s="23" t="str">
        <x:v>exact</x:v>
      </x:c>
    </x:row>
    <x:row r="85">
      <x:c r="A85" s="23" t="str">
        <x:v>11d42d9d-b8d8-42ae-a432-9a3d0f9d3504</x:v>
      </x:c>
      <x:c r="B85" s="23" t="str">
        <x:v>Panthenol + Reparatur 2in1 Kur &amp; Spülung</x:v>
      </x:c>
      <x:c r="C85" s="23" t="str">
        <x:v>conditioning_deposition_potential</x:v>
      </x:c>
      <x:c r="D85" s="23" t="str">
        <x:v>higher</x:v>
      </x:c>
      <x:c r="E85" s="23" t="str">
        <x:v>higher</x:v>
      </x:c>
      <x:c r="F85" s="23" t="n">
        <x:v>3</x:v>
      </x:c>
      <x:c r="G85" s="23" t="n">
        <x:v>3</x:v>
      </x:c>
      <x:c r="H85" s="23" t="n">
        <x:f>IF(D85=E85,1,0)</x:f>
        <x:v>1</x:v>
      </x:c>
      <x:c r="I85" s="23" t="n">
        <x:f>IF(OR(F85="",G85=""),"",IF(ABS(F85-G85)&lt;=1,1,0))</x:f>
        <x:v>1</x:v>
      </x:c>
      <x:c r="J85" s="23" t="n">
        <x:f>IF(OR(F85="",G85=""),"",ABS(F85-G85))</x:f>
        <x:v>0</x:v>
      </x:c>
      <x:c r="K85" s="23" t="str">
        <x:v>exact</x:v>
      </x:c>
    </x:row>
    <x:row r="86">
      <x:c r="A86" s="23" t="str">
        <x:v>11d42d9d-b8d8-42ae-a432-9a3d0f9d3504</x:v>
      </x:c>
      <x:c r="B86" s="23" t="str">
        <x:v>Panthenol + Reparatur 2in1 Kur &amp; Spülung</x:v>
      </x:c>
      <x:c r="C86" s="23" t="str">
        <x:v>wet_slip_detangling_potential</x:v>
      </x:c>
      <x:c r="D86" s="23" t="str">
        <x:v>higher</x:v>
      </x:c>
      <x:c r="E86" s="23" t="str">
        <x:v>higher</x:v>
      </x:c>
      <x:c r="F86" s="23" t="n">
        <x:v>3</x:v>
      </x:c>
      <x:c r="G86" s="23" t="n">
        <x:v>3</x:v>
      </x:c>
      <x:c r="H86" s="23" t="n">
        <x:f>IF(D86=E86,1,0)</x:f>
        <x:v>1</x:v>
      </x:c>
      <x:c r="I86" s="23" t="n">
        <x:f>IF(OR(F86="",G86=""),"",IF(ABS(F86-G86)&lt;=1,1,0))</x:f>
        <x:v>1</x:v>
      </x:c>
      <x:c r="J86" s="23" t="n">
        <x:f>IF(OR(F86="",G86=""),"",ABS(F86-G86))</x:f>
        <x:v>0</x:v>
      </x:c>
      <x:c r="K86" s="23" t="str">
        <x:v>exact</x:v>
      </x:c>
    </x:row>
    <x:row r="87">
      <x:c r="A87" s="23" t="str">
        <x:v>11d42d9d-b8d8-42ae-a432-9a3d0f9d3504</x:v>
      </x:c>
      <x:c r="B87" s="23" t="str">
        <x:v>Panthenol + Reparatur 2in1 Kur &amp; Spülung</x:v>
      </x:c>
      <x:c r="C87" s="23" t="str">
        <x:v>dry_combability_potential</x:v>
      </x:c>
      <x:c r="D87" s="23" t="str">
        <x:v>moderate</x:v>
      </x:c>
      <x:c r="E87" s="23" t="str">
        <x:v>moderate</x:v>
      </x:c>
      <x:c r="F87" s="23" t="n">
        <x:v>2</x:v>
      </x:c>
      <x:c r="G87" s="23" t="n">
        <x:v>2</x:v>
      </x:c>
      <x:c r="H87" s="23" t="n">
        <x:f>IF(D87=E87,1,0)</x:f>
        <x:v>1</x:v>
      </x:c>
      <x:c r="I87" s="23" t="n">
        <x:f>IF(OR(F87="",G87=""),"",IF(ABS(F87-G87)&lt;=1,1,0))</x:f>
        <x:v>1</x:v>
      </x:c>
      <x:c r="J87" s="23" t="n">
        <x:f>IF(OR(F87="",G87=""),"",ABS(F87-G87))</x:f>
        <x:v>0</x:v>
      </x:c>
      <x:c r="K87" s="23" t="str">
        <x:v>exact</x:v>
      </x:c>
    </x:row>
    <x:row r="88">
      <x:c r="A88" s="23" t="str">
        <x:v>11d42d9d-b8d8-42ae-a432-9a3d0f9d3504</x:v>
      </x:c>
      <x:c r="B88" s="23" t="str">
        <x:v>Panthenol + Reparatur 2in1 Kur &amp; Spülung</x:v>
      </x:c>
      <x:c r="C88" s="23" t="str">
        <x:v>surface_lubrication_softness_potential</x:v>
      </x:c>
      <x:c r="D88" s="23" t="str">
        <x:v>moderate</x:v>
      </x:c>
      <x:c r="E88" s="23" t="str">
        <x:v>higher</x:v>
      </x:c>
      <x:c r="F88" s="23" t="n">
        <x:v>2</x:v>
      </x:c>
      <x:c r="G88" s="23" t="n">
        <x:v>3</x:v>
      </x:c>
      <x:c r="H88" s="23" t="n">
        <x:f>IF(D88=E88,1,0)</x:f>
        <x:v>0</x:v>
      </x:c>
      <x:c r="I88" s="23" t="n">
        <x:f>IF(OR(F88="",G88=""),"",IF(ABS(F88-G88)&lt;=1,1,0))</x:f>
        <x:v>1</x:v>
      </x:c>
      <x:c r="J88" s="23" t="n">
        <x:f>IF(OR(F88="",G88=""),"",ABS(F88-G88))</x:f>
        <x:v>1</x:v>
      </x:c>
      <x:c r="K88" s="23" t="str">
        <x:v>overconfident_endpoint_inference</x:v>
      </x:c>
    </x:row>
    <x:row r="89">
      <x:c r="A89" s="23" t="str">
        <x:v>11d42d9d-b8d8-42ae-a432-9a3d0f9d3504</x:v>
      </x:c>
      <x:c r="B89" s="23" t="str">
        <x:v>Panthenol + Reparatur 2in1 Kur &amp; Spülung</x:v>
      </x:c>
      <x:c r="C89" s="23" t="str">
        <x:v>smoothing_frizz_control_potential</x:v>
      </x:c>
      <x:c r="D89" s="23" t="str">
        <x:v>moderate</x:v>
      </x:c>
      <x:c r="E89" s="23" t="str">
        <x:v>moderate</x:v>
      </x:c>
      <x:c r="F89" s="23" t="n">
        <x:v>2</x:v>
      </x:c>
      <x:c r="G89" s="23" t="n">
        <x:v>2</x:v>
      </x:c>
      <x:c r="H89" s="23" t="n">
        <x:f>IF(D89=E89,1,0)</x:f>
        <x:v>1</x:v>
      </x:c>
      <x:c r="I89" s="23" t="n">
        <x:f>IF(OR(F89="",G89=""),"",IF(ABS(F89-G89)&lt;=1,1,0))</x:f>
        <x:v>1</x:v>
      </x:c>
      <x:c r="J89" s="23" t="n">
        <x:f>IF(OR(F89="",G89=""),"",ABS(F89-G89))</x:f>
        <x:v>0</x:v>
      </x:c>
      <x:c r="K89" s="23" t="str">
        <x:v>exact</x:v>
      </x:c>
    </x:row>
    <x:row r="90">
      <x:c r="A90" s="23" t="str">
        <x:v>11d42d9d-b8d8-42ae-a432-9a3d0f9d3504</x:v>
      </x:c>
      <x:c r="B90" s="23" t="str">
        <x:v>Panthenol + Reparatur 2in1 Kur &amp; Spülung</x:v>
      </x:c>
      <x:c r="C90" s="23" t="str">
        <x:v>shine_potential</x:v>
      </x:c>
      <x:c r="D90" s="23" t="str">
        <x:v>moderate</x:v>
      </x:c>
      <x:c r="E90" s="23" t="str">
        <x:v>moderate</x:v>
      </x:c>
      <x:c r="F90" s="23" t="n">
        <x:v>2</x:v>
      </x:c>
      <x:c r="G90" s="23" t="n">
        <x:v>2</x:v>
      </x:c>
      <x:c r="H90" s="23" t="n">
        <x:f>IF(D90=E90,1,0)</x:f>
        <x:v>1</x:v>
      </x:c>
      <x:c r="I90" s="23" t="n">
        <x:f>IF(OR(F90="",G90=""),"",IF(ABS(F90-G90)&lt;=1,1,0))</x:f>
        <x:v>1</x:v>
      </x:c>
      <x:c r="J90" s="23" t="n">
        <x:f>IF(OR(F90="",G90=""),"",ABS(F90-G90))</x:f>
        <x:v>0</x:v>
      </x:c>
      <x:c r="K90" s="23" t="str">
        <x:v>exact</x:v>
      </x:c>
    </x:row>
    <x:row r="91">
      <x:c r="A91" s="23" t="str">
        <x:v>11d42d9d-b8d8-42ae-a432-9a3d0f9d3504</x:v>
      </x:c>
      <x:c r="B91" s="23" t="str">
        <x:v>Panthenol + Reparatur 2in1 Kur &amp; Spülung</x:v>
      </x:c>
      <x:c r="C91" s="23" t="str">
        <x:v>weight_deposition_potential</x:v>
      </x:c>
      <x:c r="D91" s="23" t="str">
        <x:v>moderate</x:v>
      </x:c>
      <x:c r="E91" s="23" t="str">
        <x:v>moderate</x:v>
      </x:c>
      <x:c r="F91" s="23" t="n">
        <x:v>2</x:v>
      </x:c>
      <x:c r="G91" s="23" t="n">
        <x:v>2</x:v>
      </x:c>
      <x:c r="H91" s="23" t="n">
        <x:f>IF(D91=E91,1,0)</x:f>
        <x:v>1</x:v>
      </x:c>
      <x:c r="I91" s="23" t="n">
        <x:f>IF(OR(F91="",G91=""),"",IF(ABS(F91-G91)&lt;=1,1,0))</x:f>
        <x:v>1</x:v>
      </x:c>
      <x:c r="J91" s="23" t="n">
        <x:f>IF(OR(F91="",G91=""),"",ABS(F91-G91))</x:f>
        <x:v>0</x:v>
      </x:c>
      <x:c r="K91" s="23" t="str">
        <x:v>exact</x:v>
      </x:c>
    </x:row>
    <x:row r="92">
      <x:c r="A92" s="23" t="str">
        <x:v>11d42d9d-b8d8-42ae-a432-9a3d0f9d3504</x:v>
      </x:c>
      <x:c r="B92" s="23" t="str">
        <x:v>Panthenol + Reparatur 2in1 Kur &amp; Spülung</x:v>
      </x:c>
      <x:c r="C92" s="23" t="str">
        <x:v>rinse_behavior</x:v>
      </x:c>
      <x:c r="D92" s="23" t="str">
        <x:v>unknown</x:v>
      </x:c>
      <x:c r="E92" s="23" t="str">
        <x:v>unknown</x:v>
      </x:c>
      <x:c r="F92" s="23" t="str"/>
      <x:c r="G92" s="23" t="str"/>
      <x:c r="H92" s="23" t="n">
        <x:f>IF(D92=E92,1,0)</x:f>
        <x:v>1</x:v>
      </x:c>
      <x:c r="I92" s="23" t="str">
        <x:f>IF(OR(F92="",G92=""),"",IF(ABS(F92-G92)&lt;=1,1,0))</x:f>
      </x:c>
      <x:c r="J92" s="23" t="str">
        <x:f>IF(OR(F92="",G92=""),"",ABS(F92-G92))</x:f>
      </x:c>
      <x:c r="K92" s="23" t="str">
        <x:v>exact</x:v>
      </x:c>
    </x:row>
    <x:row r="93">
      <x:c r="A93" s="23" t="str">
        <x:v>11d42d9d-b8d8-42ae-a432-9a3d0f9d3504</x:v>
      </x:c>
      <x:c r="B93" s="23" t="str">
        <x:v>Panthenol + Reparatur 2in1 Kur &amp; Spülung</x:v>
      </x:c>
      <x:c r="C93" s="23" t="str">
        <x:v>cumulative_residue_risk</x:v>
      </x:c>
      <x:c r="D93" s="23" t="str">
        <x:v>indeterminate</x:v>
      </x:c>
      <x:c r="E93" s="23" t="str">
        <x:v>indeterminate</x:v>
      </x:c>
      <x:c r="F93" s="23" t="str"/>
      <x:c r="G93" s="23" t="str"/>
      <x:c r="H93" s="23" t="n">
        <x:f>IF(D93=E93,1,0)</x:f>
        <x:v>1</x:v>
      </x:c>
      <x:c r="I93" s="23" t="str">
        <x:f>IF(OR(F93="",G93=""),"",IF(ABS(F93-G93)&lt;=1,1,0))</x:f>
      </x:c>
      <x:c r="J93" s="23" t="str">
        <x:f>IF(OR(F93="",G93=""),"",ABS(F93-G93))</x:f>
      </x:c>
      <x:c r="K93" s="23" t="str">
        <x:v>exact</x:v>
      </x:c>
    </x:row>
    <x:row r="94">
      <x:c r="A94" s="23" t="str">
        <x:v>11d42d9d-b8d8-42ae-a432-9a3d0f9d3504</x:v>
      </x:c>
      <x:c r="B94" s="23" t="str">
        <x:v>Panthenol + Reparatur 2in1 Kur &amp; Spülung</x:v>
      </x:c>
      <x:c r="C94" s="23" t="str">
        <x:v>body_lightness_potential</x:v>
      </x:c>
      <x:c r="D94" s="23" t="str">
        <x:v>balanced</x:v>
      </x:c>
      <x:c r="E94" s="23" t="str">
        <x:v>balanced</x:v>
      </x:c>
      <x:c r="F94" s="23" t="n">
        <x:v>2</x:v>
      </x:c>
      <x:c r="G94" s="23" t="n">
        <x:v>2</x:v>
      </x:c>
      <x:c r="H94" s="23" t="n">
        <x:f>IF(D94=E94,1,0)</x:f>
        <x:v>1</x:v>
      </x:c>
      <x:c r="I94" s="23" t="n">
        <x:f>IF(OR(F94="",G94=""),"",IF(ABS(F94-G94)&lt;=1,1,0))</x:f>
        <x:v>1</x:v>
      </x:c>
      <x:c r="J94" s="23" t="n">
        <x:f>IF(OR(F94="",G94=""),"",ABS(F94-G94))</x:f>
        <x:v>0</x:v>
      </x:c>
      <x:c r="K94" s="23" t="str">
        <x:v>exact</x:v>
      </x:c>
    </x:row>
    <x:row r="95">
      <x:c r="A95" s="23" t="str">
        <x:v>11d42d9d-b8d8-42ae-a432-9a3d0f9d3504</x:v>
      </x:c>
      <x:c r="B95" s="23" t="str">
        <x:v>Panthenol + Reparatur 2in1 Kur &amp; Spülung</x:v>
      </x:c>
      <x:c r="C95" s="23" t="str">
        <x:v>repair_lubrication_protection</x:v>
      </x:c>
      <x:c r="D95" s="23" t="str">
        <x:v>candidate</x:v>
      </x:c>
      <x:c r="E95" s="23" t="str">
        <x:v>candidate</x:v>
      </x:c>
      <x:c r="F95" s="23" t="n">
        <x:v>2</x:v>
      </x:c>
      <x:c r="G95" s="23" t="n">
        <x:v>2</x:v>
      </x:c>
      <x:c r="H95" s="23" t="n">
        <x:f>IF(D95=E95,1,0)</x:f>
        <x:v>1</x:v>
      </x:c>
      <x:c r="I95" s="23" t="n">
        <x:f>IF(OR(F95="",G95=""),"",IF(ABS(F95-G95)&lt;=1,1,0))</x:f>
        <x:v>1</x:v>
      </x:c>
      <x:c r="J95" s="23" t="n">
        <x:f>IF(OR(F95="",G95=""),"",ABS(F95-G95))</x:f>
        <x:v>0</x:v>
      </x:c>
      <x:c r="K95" s="23" t="str">
        <x:v>exact</x:v>
      </x:c>
    </x:row>
    <x:row r="96">
      <x:c r="A96" s="23" t="str">
        <x:v>11d42d9d-b8d8-42ae-a432-9a3d0f9d3504</x:v>
      </x:c>
      <x:c r="B96" s="23" t="str">
        <x:v>Panthenol + Reparatur 2in1 Kur &amp; Spülung</x:v>
      </x:c>
      <x:c r="C96" s="23" t="str">
        <x:v>repair_surface_film</x:v>
      </x:c>
      <x:c r="D96" s="23" t="str">
        <x:v>none_visible</x:v>
      </x:c>
      <x:c r="E96" s="23" t="str">
        <x:v>none_visible</x:v>
      </x:c>
      <x:c r="F96" s="23" t="n">
        <x:v>1</x:v>
      </x:c>
      <x:c r="G96" s="23" t="n">
        <x:v>1</x:v>
      </x:c>
      <x:c r="H96" s="23" t="n">
        <x:f>IF(D96=E96,1,0)</x:f>
        <x:v>1</x:v>
      </x:c>
      <x:c r="I96" s="23" t="n">
        <x:f>IF(OR(F96="",G96=""),"",IF(ABS(F96-G96)&lt;=1,1,0))</x:f>
        <x:v>1</x:v>
      </x:c>
      <x:c r="J96" s="23" t="n">
        <x:f>IF(OR(F96="",G96=""),"",ABS(F96-G96))</x:f>
        <x:v>0</x:v>
      </x:c>
      <x:c r="K96" s="23" t="str">
        <x:v>exact</x:v>
      </x:c>
    </x:row>
    <x:row r="97">
      <x:c r="A97" s="23" t="str">
        <x:v>11d42d9d-b8d8-42ae-a432-9a3d0f9d3504</x:v>
      </x:c>
      <x:c r="B97" s="23" t="str">
        <x:v>Panthenol + Reparatur 2in1 Kur &amp; Spülung</x:v>
      </x:c>
      <x:c r="C97" s="23" t="str">
        <x:v>bond_specific_support</x:v>
      </x:c>
      <x:c r="D97" s="23" t="str">
        <x:v>unknown</x:v>
      </x:c>
      <x:c r="E97" s="23" t="str">
        <x:v>claim_only</x:v>
      </x:c>
      <x:c r="F97" s="23" t="str"/>
      <x:c r="G97" s="23" t="n">
        <x:v>1</x:v>
      </x:c>
      <x:c r="H97" s="23" t="n">
        <x:f>IF(D97=E97,1,0)</x:f>
        <x:v>0</x:v>
      </x:c>
      <x:c r="I97" s="23" t="str">
        <x:f>IF(OR(F97="",G97=""),"",IF(ABS(F97-G97)&lt;=1,1,0))</x:f>
      </x:c>
      <x:c r="J97" s="23" t="str">
        <x:f>IF(OR(F97="",G97=""),"",ABS(F97-G97))</x:f>
      </x:c>
      <x:c r="K97" s="23" t="str">
        <x:v>claim_scope_ambiguity</x:v>
      </x:c>
    </x:row>
    <x:row r="98">
      <x:c r="A98" s="23" t="str">
        <x:v>11d42d9d-b8d8-42ae-a432-9a3d0f9d3504</x:v>
      </x:c>
      <x:c r="B98" s="23" t="str">
        <x:v>Panthenol + Reparatur 2in1 Kur &amp; Spülung</x:v>
      </x:c>
      <x:c r="C98" s="23" t="str">
        <x:v>color_chemical_damage_protection</x:v>
      </x:c>
      <x:c r="D98" s="23" t="str">
        <x:v>general_conditioning</x:v>
      </x:c>
      <x:c r="E98" s="23" t="str">
        <x:v>general_conditioning</x:v>
      </x:c>
      <x:c r="F98" s="23" t="n">
        <x:v>1</x:v>
      </x:c>
      <x:c r="G98" s="23" t="n">
        <x:v>1</x:v>
      </x:c>
      <x:c r="H98" s="23" t="n">
        <x:f>IF(D98=E98,1,0)</x:f>
        <x:v>1</x:v>
      </x:c>
      <x:c r="I98" s="23" t="n">
        <x:f>IF(OR(F98="",G98=""),"",IF(ABS(F98-G98)&lt;=1,1,0))</x:f>
        <x:v>1</x:v>
      </x:c>
      <x:c r="J98" s="23" t="n">
        <x:f>IF(OR(F98="",G98=""),"",ABS(F98-G98))</x:f>
        <x:v>0</x:v>
      </x:c>
      <x:c r="K98" s="23" t="str">
        <x:v>exact</x:v>
      </x:c>
    </x:row>
    <x:row r="99">
      <x:c r="A99" s="23" t="str">
        <x:v>11d42d9d-b8d8-42ae-a432-9a3d0f9d3504</x:v>
      </x:c>
      <x:c r="B99" s="23" t="str">
        <x:v>Panthenol + Reparatur 2in1 Kur &amp; Spülung</x:v>
      </x:c>
      <x:c r="C99" s="23" t="str">
        <x:v>fragrance_scalp_exposure</x:v>
      </x:c>
      <x:c r="D99" s="23" t="str">
        <x:v>fragrance_declared</x:v>
      </x:c>
      <x:c r="E99" s="23" t="str">
        <x:v>fragrance_declared</x:v>
      </x:c>
      <x:c r="F99" s="23" t="str"/>
      <x:c r="G99" s="23" t="str"/>
      <x:c r="H99" s="23" t="n">
        <x:f>IF(D99=E99,1,0)</x:f>
        <x:v>1</x:v>
      </x:c>
      <x:c r="I99" s="23" t="str">
        <x:f>IF(OR(F99="",G99=""),"",IF(ABS(F99-G99)&lt;=1,1,0))</x:f>
      </x:c>
      <x:c r="J99" s="23" t="str">
        <x:f>IF(OR(F99="",G99=""),"",ABS(F99-G99))</x:f>
      </x:c>
      <x:c r="K99" s="23" t="str">
        <x:v>exact</x:v>
      </x:c>
    </x:row>
    <x:row r="100">
      <x:c r="A100" s="23" t="str">
        <x:v>11d42d9d-b8d8-42ae-a432-9a3d0f9d3504</x:v>
      </x:c>
      <x:c r="B100" s="23" t="str">
        <x:v>Panthenol + Reparatur 2in1 Kur &amp; Spülung</x:v>
      </x:c>
      <x:c r="C100" s="23" t="str">
        <x:v>usage_role</x:v>
      </x:c>
      <x:c r="D100" s="23" t="str">
        <x:v>unknown</x:v>
      </x:c>
      <x:c r="E100" s="23" t="str">
        <x:v>unknown</x:v>
      </x:c>
      <x:c r="F100" s="23" t="str"/>
      <x:c r="G100" s="23" t="str"/>
      <x:c r="H100" s="23" t="n">
        <x:f>IF(D100=E100,1,0)</x:f>
        <x:v>1</x:v>
      </x:c>
      <x:c r="I100" s="23" t="str">
        <x:f>IF(OR(F100="",G100=""),"",IF(ABS(F100-G100)&lt;=1,1,0))</x:f>
      </x:c>
      <x:c r="J100" s="23" t="str">
        <x:f>IF(OR(F100="",G100=""),"",ABS(F100-G100))</x:f>
      </x:c>
      <x:c r="K100" s="23" t="str">
        <x:v>exact</x:v>
      </x:c>
    </x:row>
    <x:row r="101">
      <x:c r="A101" s="23" t="str">
        <x:v>4fca59e5-fbc4-4132-a821-dac6ff0cdb68</x:v>
      </x:c>
      <x:c r="B101" s="23" t="str">
        <x:v>Biotin &amp; Collagen Conditioner</x:v>
      </x:c>
      <x:c r="C101" s="23" t="str">
        <x:v>conditioning_deposition_potential</x:v>
      </x:c>
      <x:c r="D101" s="23" t="str">
        <x:v>higher</x:v>
      </x:c>
      <x:c r="E101" s="23" t="str">
        <x:v>higher</x:v>
      </x:c>
      <x:c r="F101" s="23" t="n">
        <x:v>3</x:v>
      </x:c>
      <x:c r="G101" s="23" t="n">
        <x:v>3</x:v>
      </x:c>
      <x:c r="H101" s="23" t="n">
        <x:f>IF(D101=E101,1,0)</x:f>
        <x:v>1</x:v>
      </x:c>
      <x:c r="I101" s="23" t="n">
        <x:f>IF(OR(F101="",G101=""),"",IF(ABS(F101-G101)&lt;=1,1,0))</x:f>
        <x:v>1</x:v>
      </x:c>
      <x:c r="J101" s="23" t="n">
        <x:f>IF(OR(F101="",G101=""),"",ABS(F101-G101))</x:f>
        <x:v>0</x:v>
      </x:c>
      <x:c r="K101" s="23" t="str">
        <x:v>exact</x:v>
      </x:c>
    </x:row>
    <x:row r="102">
      <x:c r="A102" s="23" t="str">
        <x:v>4fca59e5-fbc4-4132-a821-dac6ff0cdb68</x:v>
      </x:c>
      <x:c r="B102" s="23" t="str">
        <x:v>Biotin &amp; Collagen Conditioner</x:v>
      </x:c>
      <x:c r="C102" s="23" t="str">
        <x:v>wet_slip_detangling_potential</x:v>
      </x:c>
      <x:c r="D102" s="23" t="str">
        <x:v>higher</x:v>
      </x:c>
      <x:c r="E102" s="23" t="str">
        <x:v>higher</x:v>
      </x:c>
      <x:c r="F102" s="23" t="n">
        <x:v>3</x:v>
      </x:c>
      <x:c r="G102" s="23" t="n">
        <x:v>3</x:v>
      </x:c>
      <x:c r="H102" s="23" t="n">
        <x:f>IF(D102=E102,1,0)</x:f>
        <x:v>1</x:v>
      </x:c>
      <x:c r="I102" s="23" t="n">
        <x:f>IF(OR(F102="",G102=""),"",IF(ABS(F102-G102)&lt;=1,1,0))</x:f>
        <x:v>1</x:v>
      </x:c>
      <x:c r="J102" s="23" t="n">
        <x:f>IF(OR(F102="",G102=""),"",ABS(F102-G102))</x:f>
        <x:v>0</x:v>
      </x:c>
      <x:c r="K102" s="23" t="str">
        <x:v>exact</x:v>
      </x:c>
    </x:row>
    <x:row r="103">
      <x:c r="A103" s="23" t="str">
        <x:v>4fca59e5-fbc4-4132-a821-dac6ff0cdb68</x:v>
      </x:c>
      <x:c r="B103" s="23" t="str">
        <x:v>Biotin &amp; Collagen Conditioner</x:v>
      </x:c>
      <x:c r="C103" s="23" t="str">
        <x:v>dry_combability_potential</x:v>
      </x:c>
      <x:c r="D103" s="23" t="str">
        <x:v>higher</x:v>
      </x:c>
      <x:c r="E103" s="23" t="str">
        <x:v>higher</x:v>
      </x:c>
      <x:c r="F103" s="23" t="n">
        <x:v>3</x:v>
      </x:c>
      <x:c r="G103" s="23" t="n">
        <x:v>3</x:v>
      </x:c>
      <x:c r="H103" s="23" t="n">
        <x:f>IF(D103=E103,1,0)</x:f>
        <x:v>1</x:v>
      </x:c>
      <x:c r="I103" s="23" t="n">
        <x:f>IF(OR(F103="",G103=""),"",IF(ABS(F103-G103)&lt;=1,1,0))</x:f>
        <x:v>1</x:v>
      </x:c>
      <x:c r="J103" s="23" t="n">
        <x:f>IF(OR(F103="",G103=""),"",ABS(F103-G103))</x:f>
        <x:v>0</x:v>
      </x:c>
      <x:c r="K103" s="23" t="str">
        <x:v>exact</x:v>
      </x:c>
    </x:row>
    <x:row r="104">
      <x:c r="A104" s="23" t="str">
        <x:v>4fca59e5-fbc4-4132-a821-dac6ff0cdb68</x:v>
      </x:c>
      <x:c r="B104" s="23" t="str">
        <x:v>Biotin &amp; Collagen Conditioner</x:v>
      </x:c>
      <x:c r="C104" s="23" t="str">
        <x:v>surface_lubrication_softness_potential</x:v>
      </x:c>
      <x:c r="D104" s="23" t="str">
        <x:v>higher</x:v>
      </x:c>
      <x:c r="E104" s="23" t="str">
        <x:v>higher</x:v>
      </x:c>
      <x:c r="F104" s="23" t="n">
        <x:v>3</x:v>
      </x:c>
      <x:c r="G104" s="23" t="n">
        <x:v>3</x:v>
      </x:c>
      <x:c r="H104" s="23" t="n">
        <x:f>IF(D104=E104,1,0)</x:f>
        <x:v>1</x:v>
      </x:c>
      <x:c r="I104" s="23" t="n">
        <x:f>IF(OR(F104="",G104=""),"",IF(ABS(F104-G104)&lt;=1,1,0))</x:f>
        <x:v>1</x:v>
      </x:c>
      <x:c r="J104" s="23" t="n">
        <x:f>IF(OR(F104="",G104=""),"",ABS(F104-G104))</x:f>
        <x:v>0</x:v>
      </x:c>
      <x:c r="K104" s="23" t="str">
        <x:v>exact</x:v>
      </x:c>
    </x:row>
    <x:row r="105">
      <x:c r="A105" s="23" t="str">
        <x:v>4fca59e5-fbc4-4132-a821-dac6ff0cdb68</x:v>
      </x:c>
      <x:c r="B105" s="23" t="str">
        <x:v>Biotin &amp; Collagen Conditioner</x:v>
      </x:c>
      <x:c r="C105" s="23" t="str">
        <x:v>smoothing_frizz_control_potential</x:v>
      </x:c>
      <x:c r="D105" s="23" t="str">
        <x:v>higher</x:v>
      </x:c>
      <x:c r="E105" s="23" t="str">
        <x:v>higher</x:v>
      </x:c>
      <x:c r="F105" s="23" t="n">
        <x:v>3</x:v>
      </x:c>
      <x:c r="G105" s="23" t="n">
        <x:v>3</x:v>
      </x:c>
      <x:c r="H105" s="23" t="n">
        <x:f>IF(D105=E105,1,0)</x:f>
        <x:v>1</x:v>
      </x:c>
      <x:c r="I105" s="23" t="n">
        <x:f>IF(OR(F105="",G105=""),"",IF(ABS(F105-G105)&lt;=1,1,0))</x:f>
        <x:v>1</x:v>
      </x:c>
      <x:c r="J105" s="23" t="n">
        <x:f>IF(OR(F105="",G105=""),"",ABS(F105-G105))</x:f>
        <x:v>0</x:v>
      </x:c>
      <x:c r="K105" s="23" t="str">
        <x:v>exact</x:v>
      </x:c>
    </x:row>
    <x:row r="106">
      <x:c r="A106" s="23" t="str">
        <x:v>4fca59e5-fbc4-4132-a821-dac6ff0cdb68</x:v>
      </x:c>
      <x:c r="B106" s="23" t="str">
        <x:v>Biotin &amp; Collagen Conditioner</x:v>
      </x:c>
      <x:c r="C106" s="23" t="str">
        <x:v>shine_potential</x:v>
      </x:c>
      <x:c r="D106" s="23" t="str">
        <x:v>higher</x:v>
      </x:c>
      <x:c r="E106" s="23" t="str">
        <x:v>higher</x:v>
      </x:c>
      <x:c r="F106" s="23" t="n">
        <x:v>3</x:v>
      </x:c>
      <x:c r="G106" s="23" t="n">
        <x:v>3</x:v>
      </x:c>
      <x:c r="H106" s="23" t="n">
        <x:f>IF(D106=E106,1,0)</x:f>
        <x:v>1</x:v>
      </x:c>
      <x:c r="I106" s="23" t="n">
        <x:f>IF(OR(F106="",G106=""),"",IF(ABS(F106-G106)&lt;=1,1,0))</x:f>
        <x:v>1</x:v>
      </x:c>
      <x:c r="J106" s="23" t="n">
        <x:f>IF(OR(F106="",G106=""),"",ABS(F106-G106))</x:f>
        <x:v>0</x:v>
      </x:c>
      <x:c r="K106" s="23" t="str">
        <x:v>exact</x:v>
      </x:c>
    </x:row>
    <x:row r="107">
      <x:c r="A107" s="23" t="str">
        <x:v>4fca59e5-fbc4-4132-a821-dac6ff0cdb68</x:v>
      </x:c>
      <x:c r="B107" s="23" t="str">
        <x:v>Biotin &amp; Collagen Conditioner</x:v>
      </x:c>
      <x:c r="C107" s="23" t="str">
        <x:v>weight_deposition_potential</x:v>
      </x:c>
      <x:c r="D107" s="23" t="str">
        <x:v>higher</x:v>
      </x:c>
      <x:c r="E107" s="23" t="str">
        <x:v>higher</x:v>
      </x:c>
      <x:c r="F107" s="23" t="n">
        <x:v>3</x:v>
      </x:c>
      <x:c r="G107" s="23" t="n">
        <x:v>3</x:v>
      </x:c>
      <x:c r="H107" s="23" t="n">
        <x:f>IF(D107=E107,1,0)</x:f>
        <x:v>1</x:v>
      </x:c>
      <x:c r="I107" s="23" t="n">
        <x:f>IF(OR(F107="",G107=""),"",IF(ABS(F107-G107)&lt;=1,1,0))</x:f>
        <x:v>1</x:v>
      </x:c>
      <x:c r="J107" s="23" t="n">
        <x:f>IF(OR(F107="",G107=""),"",ABS(F107-G107))</x:f>
        <x:v>0</x:v>
      </x:c>
      <x:c r="K107" s="23" t="str">
        <x:v>exact</x:v>
      </x:c>
    </x:row>
    <x:row r="108">
      <x:c r="A108" s="23" t="str">
        <x:v>4fca59e5-fbc4-4132-a821-dac6ff0cdb68</x:v>
      </x:c>
      <x:c r="B108" s="23" t="str">
        <x:v>Biotin &amp; Collagen Conditioner</x:v>
      </x:c>
      <x:c r="C108" s="23" t="str">
        <x:v>rinse_behavior</x:v>
      </x:c>
      <x:c r="D108" s="23" t="str">
        <x:v>unknown</x:v>
      </x:c>
      <x:c r="E108" s="23" t="str">
        <x:v>unknown</x:v>
      </x:c>
      <x:c r="F108" s="23" t="str"/>
      <x:c r="G108" s="23" t="str"/>
      <x:c r="H108" s="23" t="n">
        <x:f>IF(D108=E108,1,0)</x:f>
        <x:v>1</x:v>
      </x:c>
      <x:c r="I108" s="23" t="str">
        <x:f>IF(OR(F108="",G108=""),"",IF(ABS(F108-G108)&lt;=1,1,0))</x:f>
      </x:c>
      <x:c r="J108" s="23" t="str">
        <x:f>IF(OR(F108="",G108=""),"",ABS(F108-G108))</x:f>
      </x:c>
      <x:c r="K108" s="23" t="str">
        <x:v>exact</x:v>
      </x:c>
    </x:row>
    <x:row r="109">
      <x:c r="A109" s="23" t="str">
        <x:v>4fca59e5-fbc4-4132-a821-dac6ff0cdb68</x:v>
      </x:c>
      <x:c r="B109" s="23" t="str">
        <x:v>Biotin &amp; Collagen Conditioner</x:v>
      </x:c>
      <x:c r="C109" s="23" t="str">
        <x:v>cumulative_residue_risk</x:v>
      </x:c>
      <x:c r="D109" s="23" t="str">
        <x:v>indeterminate</x:v>
      </x:c>
      <x:c r="E109" s="23" t="str">
        <x:v>indeterminate</x:v>
      </x:c>
      <x:c r="F109" s="23" t="str"/>
      <x:c r="G109" s="23" t="str"/>
      <x:c r="H109" s="23" t="n">
        <x:f>IF(D109=E109,1,0)</x:f>
        <x:v>1</x:v>
      </x:c>
      <x:c r="I109" s="23" t="str">
        <x:f>IF(OR(F109="",G109=""),"",IF(ABS(F109-G109)&lt;=1,1,0))</x:f>
      </x:c>
      <x:c r="J109" s="23" t="str">
        <x:f>IF(OR(F109="",G109=""),"",ABS(F109-G109))</x:f>
      </x:c>
      <x:c r="K109" s="23" t="str">
        <x:v>exact</x:v>
      </x:c>
    </x:row>
    <x:row r="110">
      <x:c r="A110" s="23" t="str">
        <x:v>4fca59e5-fbc4-4132-a821-dac6ff0cdb68</x:v>
      </x:c>
      <x:c r="B110" s="23" t="str">
        <x:v>Biotin &amp; Collagen Conditioner</x:v>
      </x:c>
      <x:c r="C110" s="23" t="str">
        <x:v>body_lightness_potential</x:v>
      </x:c>
      <x:c r="D110" s="23" t="str">
        <x:v>likely_depositing</x:v>
      </x:c>
      <x:c r="E110" s="23" t="str">
        <x:v>likely_depositing</x:v>
      </x:c>
      <x:c r="F110" s="23" t="n">
        <x:v>3</x:v>
      </x:c>
      <x:c r="G110" s="23" t="n">
        <x:v>3</x:v>
      </x:c>
      <x:c r="H110" s="23" t="n">
        <x:f>IF(D110=E110,1,0)</x:f>
        <x:v>1</x:v>
      </x:c>
      <x:c r="I110" s="23" t="n">
        <x:f>IF(OR(F110="",G110=""),"",IF(ABS(F110-G110)&lt;=1,1,0))</x:f>
        <x:v>1</x:v>
      </x:c>
      <x:c r="J110" s="23" t="n">
        <x:f>IF(OR(F110="",G110=""),"",ABS(F110-G110))</x:f>
        <x:v>0</x:v>
      </x:c>
      <x:c r="K110" s="23" t="str">
        <x:v>exact</x:v>
      </x:c>
    </x:row>
    <x:row r="111">
      <x:c r="A111" s="23" t="str">
        <x:v>4fca59e5-fbc4-4132-a821-dac6ff0cdb68</x:v>
      </x:c>
      <x:c r="B111" s="23" t="str">
        <x:v>Biotin &amp; Collagen Conditioner</x:v>
      </x:c>
      <x:c r="C111" s="23" t="str">
        <x:v>repair_lubrication_protection</x:v>
      </x:c>
      <x:c r="D111" s="23" t="str">
        <x:v>candidate</x:v>
      </x:c>
      <x:c r="E111" s="23" t="str">
        <x:v>candidate</x:v>
      </x:c>
      <x:c r="F111" s="23" t="n">
        <x:v>2</x:v>
      </x:c>
      <x:c r="G111" s="23" t="n">
        <x:v>2</x:v>
      </x:c>
      <x:c r="H111" s="23" t="n">
        <x:f>IF(D111=E111,1,0)</x:f>
        <x:v>1</x:v>
      </x:c>
      <x:c r="I111" s="23" t="n">
        <x:f>IF(OR(F111="",G111=""),"",IF(ABS(F111-G111)&lt;=1,1,0))</x:f>
        <x:v>1</x:v>
      </x:c>
      <x:c r="J111" s="23" t="n">
        <x:f>IF(OR(F111="",G111=""),"",ABS(F111-G111))</x:f>
        <x:v>0</x:v>
      </x:c>
      <x:c r="K111" s="23" t="str">
        <x:v>exact</x:v>
      </x:c>
    </x:row>
    <x:row r="112">
      <x:c r="A112" s="23" t="str">
        <x:v>4fca59e5-fbc4-4132-a821-dac6ff0cdb68</x:v>
      </x:c>
      <x:c r="B112" s="23" t="str">
        <x:v>Biotin &amp; Collagen Conditioner</x:v>
      </x:c>
      <x:c r="C112" s="23" t="str">
        <x:v>repair_surface_film</x:v>
      </x:c>
      <x:c r="D112" s="23" t="str">
        <x:v>candidate</x:v>
      </x:c>
      <x:c r="E112" s="23" t="str">
        <x:v>candidate</x:v>
      </x:c>
      <x:c r="F112" s="23" t="n">
        <x:v>2</x:v>
      </x:c>
      <x:c r="G112" s="23" t="n">
        <x:v>2</x:v>
      </x:c>
      <x:c r="H112" s="23" t="n">
        <x:f>IF(D112=E112,1,0)</x:f>
        <x:v>1</x:v>
      </x:c>
      <x:c r="I112" s="23" t="n">
        <x:f>IF(OR(F112="",G112=""),"",IF(ABS(F112-G112)&lt;=1,1,0))</x:f>
        <x:v>1</x:v>
      </x:c>
      <x:c r="J112" s="23" t="n">
        <x:f>IF(OR(F112="",G112=""),"",ABS(F112-G112))</x:f>
        <x:v>0</x:v>
      </x:c>
      <x:c r="K112" s="23" t="str">
        <x:v>exact</x:v>
      </x:c>
    </x:row>
    <x:row r="113">
      <x:c r="A113" s="23" t="str">
        <x:v>4fca59e5-fbc4-4132-a821-dac6ff0cdb68</x:v>
      </x:c>
      <x:c r="B113" s="23" t="str">
        <x:v>Biotin &amp; Collagen Conditioner</x:v>
      </x:c>
      <x:c r="C113" s="23" t="str">
        <x:v>bond_specific_support</x:v>
      </x:c>
      <x:c r="D113" s="23" t="str">
        <x:v>unknown</x:v>
      </x:c>
      <x:c r="E113" s="23" t="str">
        <x:v>unknown</x:v>
      </x:c>
      <x:c r="F113" s="23" t="str"/>
      <x:c r="G113" s="23" t="str"/>
      <x:c r="H113" s="23" t="n">
        <x:f>IF(D113=E113,1,0)</x:f>
        <x:v>1</x:v>
      </x:c>
      <x:c r="I113" s="23" t="str">
        <x:f>IF(OR(F113="",G113=""),"",IF(ABS(F113-G113)&lt;=1,1,0))</x:f>
      </x:c>
      <x:c r="J113" s="23" t="str">
        <x:f>IF(OR(F113="",G113=""),"",ABS(F113-G113))</x:f>
      </x:c>
      <x:c r="K113" s="23" t="str">
        <x:v>exact</x:v>
      </x:c>
    </x:row>
    <x:row r="114">
      <x:c r="A114" s="23" t="str">
        <x:v>4fca59e5-fbc4-4132-a821-dac6ff0cdb68</x:v>
      </x:c>
      <x:c r="B114" s="23" t="str">
        <x:v>Biotin &amp; Collagen Conditioner</x:v>
      </x:c>
      <x:c r="C114" s="23" t="str">
        <x:v>color_chemical_damage_protection</x:v>
      </x:c>
      <x:c r="D114" s="23" t="str">
        <x:v>general_conditioning</x:v>
      </x:c>
      <x:c r="E114" s="23" t="str">
        <x:v>general_conditioning</x:v>
      </x:c>
      <x:c r="F114" s="23" t="n">
        <x:v>1</x:v>
      </x:c>
      <x:c r="G114" s="23" t="n">
        <x:v>1</x:v>
      </x:c>
      <x:c r="H114" s="23" t="n">
        <x:f>IF(D114=E114,1,0)</x:f>
        <x:v>1</x:v>
      </x:c>
      <x:c r="I114" s="23" t="n">
        <x:f>IF(OR(F114="",G114=""),"",IF(ABS(F114-G114)&lt;=1,1,0))</x:f>
        <x:v>1</x:v>
      </x:c>
      <x:c r="J114" s="23" t="n">
        <x:f>IF(OR(F114="",G114=""),"",ABS(F114-G114))</x:f>
        <x:v>0</x:v>
      </x:c>
      <x:c r="K114" s="23" t="str">
        <x:v>exact</x:v>
      </x:c>
    </x:row>
    <x:row r="115">
      <x:c r="A115" s="23" t="str">
        <x:v>4fca59e5-fbc4-4132-a821-dac6ff0cdb68</x:v>
      </x:c>
      <x:c r="B115" s="23" t="str">
        <x:v>Biotin &amp; Collagen Conditioner</x:v>
      </x:c>
      <x:c r="C115" s="23" t="str">
        <x:v>fragrance_scalp_exposure</x:v>
      </x:c>
      <x:c r="D115" s="23" t="str">
        <x:v>fragrance_declared</x:v>
      </x:c>
      <x:c r="E115" s="23" t="str">
        <x:v>fragrance_declared</x:v>
      </x:c>
      <x:c r="F115" s="23" t="str"/>
      <x:c r="G115" s="23" t="str"/>
      <x:c r="H115" s="23" t="n">
        <x:f>IF(D115=E115,1,0)</x:f>
        <x:v>1</x:v>
      </x:c>
      <x:c r="I115" s="23" t="str">
        <x:f>IF(OR(F115="",G115=""),"",IF(ABS(F115-G115)&lt;=1,1,0))</x:f>
      </x:c>
      <x:c r="J115" s="23" t="str">
        <x:f>IF(OR(F115="",G115=""),"",ABS(F115-G115))</x:f>
      </x:c>
      <x:c r="K115" s="23" t="str">
        <x:v>exact</x:v>
      </x:c>
    </x:row>
    <x:row r="116">
      <x:c r="A116" s="23" t="str">
        <x:v>4fca59e5-fbc4-4132-a821-dac6ff0cdb68</x:v>
      </x:c>
      <x:c r="B116" s="23" t="str">
        <x:v>Biotin &amp; Collagen Conditioner</x:v>
      </x:c>
      <x:c r="C116" s="23" t="str">
        <x:v>usage_role</x:v>
      </x:c>
      <x:c r="D116" s="23" t="str">
        <x:v>unknown</x:v>
      </x:c>
      <x:c r="E116" s="23" t="str">
        <x:v>unknown</x:v>
      </x:c>
      <x:c r="F116" s="23" t="str"/>
      <x:c r="G116" s="23" t="str"/>
      <x:c r="H116" s="23" t="n">
        <x:f>IF(D116=E116,1,0)</x:f>
        <x:v>1</x:v>
      </x:c>
      <x:c r="I116" s="23" t="str">
        <x:f>IF(OR(F116="",G116=""),"",IF(ABS(F116-G116)&lt;=1,1,0))</x:f>
      </x:c>
      <x:c r="J116" s="23" t="str">
        <x:f>IF(OR(F116="",G116=""),"",ABS(F116-G116))</x:f>
      </x:c>
      <x:c r="K116" s="23" t="str">
        <x:v>exact</x:v>
      </x:c>
    </x:row>
    <x:row r="117">
      <x:c r="A117" s="23" t="str">
        <x:v>d8ac8909-91a1-46b3-9fa6-2ff66b78fb66</x:v>
      </x:c>
      <x:c r="B117" s="23" t="str">
        <x:v>Conditioner Cream</x:v>
      </x:c>
      <x:c r="C117" s="23" t="str">
        <x:v>conditioning_deposition_potential</x:v>
      </x:c>
      <x:c r="D117" s="23" t="str">
        <x:v>higher</x:v>
      </x:c>
      <x:c r="E117" s="23" t="str">
        <x:v>higher</x:v>
      </x:c>
      <x:c r="F117" s="23" t="n">
        <x:v>3</x:v>
      </x:c>
      <x:c r="G117" s="23" t="n">
        <x:v>3</x:v>
      </x:c>
      <x:c r="H117" s="23" t="n">
        <x:f>IF(D117=E117,1,0)</x:f>
        <x:v>1</x:v>
      </x:c>
      <x:c r="I117" s="23" t="n">
        <x:f>IF(OR(F117="",G117=""),"",IF(ABS(F117-G117)&lt;=1,1,0))</x:f>
        <x:v>1</x:v>
      </x:c>
      <x:c r="J117" s="23" t="n">
        <x:f>IF(OR(F117="",G117=""),"",ABS(F117-G117))</x:f>
        <x:v>0</x:v>
      </x:c>
      <x:c r="K117" s="23" t="str">
        <x:v>exact</x:v>
      </x:c>
    </x:row>
    <x:row r="118">
      <x:c r="A118" s="23" t="str">
        <x:v>d8ac8909-91a1-46b3-9fa6-2ff66b78fb66</x:v>
      </x:c>
      <x:c r="B118" s="23" t="str">
        <x:v>Conditioner Cream</x:v>
      </x:c>
      <x:c r="C118" s="23" t="str">
        <x:v>wet_slip_detangling_potential</x:v>
      </x:c>
      <x:c r="D118" s="23" t="str">
        <x:v>higher</x:v>
      </x:c>
      <x:c r="E118" s="23" t="str">
        <x:v>higher</x:v>
      </x:c>
      <x:c r="F118" s="23" t="n">
        <x:v>3</x:v>
      </x:c>
      <x:c r="G118" s="23" t="n">
        <x:v>3</x:v>
      </x:c>
      <x:c r="H118" s="23" t="n">
        <x:f>IF(D118=E118,1,0)</x:f>
        <x:v>1</x:v>
      </x:c>
      <x:c r="I118" s="23" t="n">
        <x:f>IF(OR(F118="",G118=""),"",IF(ABS(F118-G118)&lt;=1,1,0))</x:f>
        <x:v>1</x:v>
      </x:c>
      <x:c r="J118" s="23" t="n">
        <x:f>IF(OR(F118="",G118=""),"",ABS(F118-G118))</x:f>
        <x:v>0</x:v>
      </x:c>
      <x:c r="K118" s="23" t="str">
        <x:v>exact</x:v>
      </x:c>
    </x:row>
    <x:row r="119">
      <x:c r="A119" s="23" t="str">
        <x:v>d8ac8909-91a1-46b3-9fa6-2ff66b78fb66</x:v>
      </x:c>
      <x:c r="B119" s="23" t="str">
        <x:v>Conditioner Cream</x:v>
      </x:c>
      <x:c r="C119" s="23" t="str">
        <x:v>dry_combability_potential</x:v>
      </x:c>
      <x:c r="D119" s="23" t="str">
        <x:v>higher</x:v>
      </x:c>
      <x:c r="E119" s="23" t="str">
        <x:v>higher</x:v>
      </x:c>
      <x:c r="F119" s="23" t="n">
        <x:v>3</x:v>
      </x:c>
      <x:c r="G119" s="23" t="n">
        <x:v>3</x:v>
      </x:c>
      <x:c r="H119" s="23" t="n">
        <x:f>IF(D119=E119,1,0)</x:f>
        <x:v>1</x:v>
      </x:c>
      <x:c r="I119" s="23" t="n">
        <x:f>IF(OR(F119="",G119=""),"",IF(ABS(F119-G119)&lt;=1,1,0))</x:f>
        <x:v>1</x:v>
      </x:c>
      <x:c r="J119" s="23" t="n">
        <x:f>IF(OR(F119="",G119=""),"",ABS(F119-G119))</x:f>
        <x:v>0</x:v>
      </x:c>
      <x:c r="K119" s="23" t="str">
        <x:v>exact</x:v>
      </x:c>
    </x:row>
    <x:row r="120">
      <x:c r="A120" s="23" t="str">
        <x:v>d8ac8909-91a1-46b3-9fa6-2ff66b78fb66</x:v>
      </x:c>
      <x:c r="B120" s="23" t="str">
        <x:v>Conditioner Cream</x:v>
      </x:c>
      <x:c r="C120" s="23" t="str">
        <x:v>surface_lubrication_softness_potential</x:v>
      </x:c>
      <x:c r="D120" s="23" t="str">
        <x:v>higher</x:v>
      </x:c>
      <x:c r="E120" s="23" t="str">
        <x:v>higher</x:v>
      </x:c>
      <x:c r="F120" s="23" t="n">
        <x:v>3</x:v>
      </x:c>
      <x:c r="G120" s="23" t="n">
        <x:v>3</x:v>
      </x:c>
      <x:c r="H120" s="23" t="n">
        <x:f>IF(D120=E120,1,0)</x:f>
        <x:v>1</x:v>
      </x:c>
      <x:c r="I120" s="23" t="n">
        <x:f>IF(OR(F120="",G120=""),"",IF(ABS(F120-G120)&lt;=1,1,0))</x:f>
        <x:v>1</x:v>
      </x:c>
      <x:c r="J120" s="23" t="n">
        <x:f>IF(OR(F120="",G120=""),"",ABS(F120-G120))</x:f>
        <x:v>0</x:v>
      </x:c>
      <x:c r="K120" s="23" t="str">
        <x:v>exact</x:v>
      </x:c>
    </x:row>
    <x:row r="121">
      <x:c r="A121" s="23" t="str">
        <x:v>d8ac8909-91a1-46b3-9fa6-2ff66b78fb66</x:v>
      </x:c>
      <x:c r="B121" s="23" t="str">
        <x:v>Conditioner Cream</x:v>
      </x:c>
      <x:c r="C121" s="23" t="str">
        <x:v>smoothing_frizz_control_potential</x:v>
      </x:c>
      <x:c r="D121" s="23" t="str">
        <x:v>higher</x:v>
      </x:c>
      <x:c r="E121" s="23" t="str">
        <x:v>higher</x:v>
      </x:c>
      <x:c r="F121" s="23" t="n">
        <x:v>3</x:v>
      </x:c>
      <x:c r="G121" s="23" t="n">
        <x:v>3</x:v>
      </x:c>
      <x:c r="H121" s="23" t="n">
        <x:f>IF(D121=E121,1,0)</x:f>
        <x:v>1</x:v>
      </x:c>
      <x:c r="I121" s="23" t="n">
        <x:f>IF(OR(F121="",G121=""),"",IF(ABS(F121-G121)&lt;=1,1,0))</x:f>
        <x:v>1</x:v>
      </x:c>
      <x:c r="J121" s="23" t="n">
        <x:f>IF(OR(F121="",G121=""),"",ABS(F121-G121))</x:f>
        <x:v>0</x:v>
      </x:c>
      <x:c r="K121" s="23" t="str">
        <x:v>exact</x:v>
      </x:c>
    </x:row>
    <x:row r="122">
      <x:c r="A122" s="23" t="str">
        <x:v>d8ac8909-91a1-46b3-9fa6-2ff66b78fb66</x:v>
      </x:c>
      <x:c r="B122" s="23" t="str">
        <x:v>Conditioner Cream</x:v>
      </x:c>
      <x:c r="C122" s="23" t="str">
        <x:v>shine_potential</x:v>
      </x:c>
      <x:c r="D122" s="23" t="str">
        <x:v>moderate</x:v>
      </x:c>
      <x:c r="E122" s="23" t="str">
        <x:v>moderate</x:v>
      </x:c>
      <x:c r="F122" s="23" t="n">
        <x:v>2</x:v>
      </x:c>
      <x:c r="G122" s="23" t="n">
        <x:v>2</x:v>
      </x:c>
      <x:c r="H122" s="23" t="n">
        <x:f>IF(D122=E122,1,0)</x:f>
        <x:v>1</x:v>
      </x:c>
      <x:c r="I122" s="23" t="n">
        <x:f>IF(OR(F122="",G122=""),"",IF(ABS(F122-G122)&lt;=1,1,0))</x:f>
        <x:v>1</x:v>
      </x:c>
      <x:c r="J122" s="23" t="n">
        <x:f>IF(OR(F122="",G122=""),"",ABS(F122-G122))</x:f>
        <x:v>0</x:v>
      </x:c>
      <x:c r="K122" s="23" t="str">
        <x:v>exact</x:v>
      </x:c>
    </x:row>
    <x:row r="123">
      <x:c r="A123" s="23" t="str">
        <x:v>d8ac8909-91a1-46b3-9fa6-2ff66b78fb66</x:v>
      </x:c>
      <x:c r="B123" s="23" t="str">
        <x:v>Conditioner Cream</x:v>
      </x:c>
      <x:c r="C123" s="23" t="str">
        <x:v>weight_deposition_potential</x:v>
      </x:c>
      <x:c r="D123" s="23" t="str">
        <x:v>higher</x:v>
      </x:c>
      <x:c r="E123" s="23" t="str">
        <x:v>higher</x:v>
      </x:c>
      <x:c r="F123" s="23" t="n">
        <x:v>3</x:v>
      </x:c>
      <x:c r="G123" s="23" t="n">
        <x:v>3</x:v>
      </x:c>
      <x:c r="H123" s="23" t="n">
        <x:f>IF(D123=E123,1,0)</x:f>
        <x:v>1</x:v>
      </x:c>
      <x:c r="I123" s="23" t="n">
        <x:f>IF(OR(F123="",G123=""),"",IF(ABS(F123-G123)&lt;=1,1,0))</x:f>
        <x:v>1</x:v>
      </x:c>
      <x:c r="J123" s="23" t="n">
        <x:f>IF(OR(F123="",G123=""),"",ABS(F123-G123))</x:f>
        <x:v>0</x:v>
      </x:c>
      <x:c r="K123" s="23" t="str">
        <x:v>exact</x:v>
      </x:c>
    </x:row>
    <x:row r="124">
      <x:c r="A124" s="23" t="str">
        <x:v>d8ac8909-91a1-46b3-9fa6-2ff66b78fb66</x:v>
      </x:c>
      <x:c r="B124" s="23" t="str">
        <x:v>Conditioner Cream</x:v>
      </x:c>
      <x:c r="C124" s="23" t="str">
        <x:v>rinse_behavior</x:v>
      </x:c>
      <x:c r="D124" s="23" t="str">
        <x:v>unknown</x:v>
      </x:c>
      <x:c r="E124" s="23" t="str">
        <x:v>unknown</x:v>
      </x:c>
      <x:c r="F124" s="23" t="str"/>
      <x:c r="G124" s="23" t="str"/>
      <x:c r="H124" s="23" t="n">
        <x:f>IF(D124=E124,1,0)</x:f>
        <x:v>1</x:v>
      </x:c>
      <x:c r="I124" s="23" t="str">
        <x:f>IF(OR(F124="",G124=""),"",IF(ABS(F124-G124)&lt;=1,1,0))</x:f>
      </x:c>
      <x:c r="J124" s="23" t="str">
        <x:f>IF(OR(F124="",G124=""),"",ABS(F124-G124))</x:f>
      </x:c>
      <x:c r="K124" s="23" t="str">
        <x:v>exact</x:v>
      </x:c>
    </x:row>
    <x:row r="125">
      <x:c r="A125" s="23" t="str">
        <x:v>d8ac8909-91a1-46b3-9fa6-2ff66b78fb66</x:v>
      </x:c>
      <x:c r="B125" s="23" t="str">
        <x:v>Conditioner Cream</x:v>
      </x:c>
      <x:c r="C125" s="23" t="str">
        <x:v>cumulative_residue_risk</x:v>
      </x:c>
      <x:c r="D125" s="23" t="str">
        <x:v>indeterminate</x:v>
      </x:c>
      <x:c r="E125" s="23" t="str">
        <x:v>indeterminate</x:v>
      </x:c>
      <x:c r="F125" s="23" t="str"/>
      <x:c r="G125" s="23" t="str"/>
      <x:c r="H125" s="23" t="n">
        <x:f>IF(D125=E125,1,0)</x:f>
        <x:v>1</x:v>
      </x:c>
      <x:c r="I125" s="23" t="str">
        <x:f>IF(OR(F125="",G125=""),"",IF(ABS(F125-G125)&lt;=1,1,0))</x:f>
      </x:c>
      <x:c r="J125" s="23" t="str">
        <x:f>IF(OR(F125="",G125=""),"",ABS(F125-G125))</x:f>
      </x:c>
      <x:c r="K125" s="23" t="str">
        <x:v>exact</x:v>
      </x:c>
    </x:row>
    <x:row r="126">
      <x:c r="A126" s="23" t="str">
        <x:v>d8ac8909-91a1-46b3-9fa6-2ff66b78fb66</x:v>
      </x:c>
      <x:c r="B126" s="23" t="str">
        <x:v>Conditioner Cream</x:v>
      </x:c>
      <x:c r="C126" s="23" t="str">
        <x:v>body_lightness_potential</x:v>
      </x:c>
      <x:c r="D126" s="23" t="str">
        <x:v>likely_depositing</x:v>
      </x:c>
      <x:c r="E126" s="23" t="str">
        <x:v>likely_depositing</x:v>
      </x:c>
      <x:c r="F126" s="23" t="n">
        <x:v>3</x:v>
      </x:c>
      <x:c r="G126" s="23" t="n">
        <x:v>3</x:v>
      </x:c>
      <x:c r="H126" s="23" t="n">
        <x:f>IF(D126=E126,1,0)</x:f>
        <x:v>1</x:v>
      </x:c>
      <x:c r="I126" s="23" t="n">
        <x:f>IF(OR(F126="",G126=""),"",IF(ABS(F126-G126)&lt;=1,1,0))</x:f>
        <x:v>1</x:v>
      </x:c>
      <x:c r="J126" s="23" t="n">
        <x:f>IF(OR(F126="",G126=""),"",ABS(F126-G126))</x:f>
        <x:v>0</x:v>
      </x:c>
      <x:c r="K126" s="23" t="str">
        <x:v>exact</x:v>
      </x:c>
    </x:row>
    <x:row r="127">
      <x:c r="A127" s="23" t="str">
        <x:v>d8ac8909-91a1-46b3-9fa6-2ff66b78fb66</x:v>
      </x:c>
      <x:c r="B127" s="23" t="str">
        <x:v>Conditioner Cream</x:v>
      </x:c>
      <x:c r="C127" s="23" t="str">
        <x:v>repair_lubrication_protection</x:v>
      </x:c>
      <x:c r="D127" s="23" t="str">
        <x:v>candidate</x:v>
      </x:c>
      <x:c r="E127" s="23" t="str">
        <x:v>candidate</x:v>
      </x:c>
      <x:c r="F127" s="23" t="n">
        <x:v>2</x:v>
      </x:c>
      <x:c r="G127" s="23" t="n">
        <x:v>2</x:v>
      </x:c>
      <x:c r="H127" s="23" t="n">
        <x:f>IF(D127=E127,1,0)</x:f>
        <x:v>1</x:v>
      </x:c>
      <x:c r="I127" s="23" t="n">
        <x:f>IF(OR(F127="",G127=""),"",IF(ABS(F127-G127)&lt;=1,1,0))</x:f>
        <x:v>1</x:v>
      </x:c>
      <x:c r="J127" s="23" t="n">
        <x:f>IF(OR(F127="",G127=""),"",ABS(F127-G127))</x:f>
        <x:v>0</x:v>
      </x:c>
      <x:c r="K127" s="23" t="str">
        <x:v>exact</x:v>
      </x:c>
    </x:row>
    <x:row r="128">
      <x:c r="A128" s="23" t="str">
        <x:v>d8ac8909-91a1-46b3-9fa6-2ff66b78fb66</x:v>
      </x:c>
      <x:c r="B128" s="23" t="str">
        <x:v>Conditioner Cream</x:v>
      </x:c>
      <x:c r="C128" s="23" t="str">
        <x:v>repair_surface_film</x:v>
      </x:c>
      <x:c r="D128" s="23" t="str">
        <x:v>candidate</x:v>
      </x:c>
      <x:c r="E128" s="23" t="str">
        <x:v>candidate</x:v>
      </x:c>
      <x:c r="F128" s="23" t="n">
        <x:v>2</x:v>
      </x:c>
      <x:c r="G128" s="23" t="n">
        <x:v>2</x:v>
      </x:c>
      <x:c r="H128" s="23" t="n">
        <x:f>IF(D128=E128,1,0)</x:f>
        <x:v>1</x:v>
      </x:c>
      <x:c r="I128" s="23" t="n">
        <x:f>IF(OR(F128="",G128=""),"",IF(ABS(F128-G128)&lt;=1,1,0))</x:f>
        <x:v>1</x:v>
      </x:c>
      <x:c r="J128" s="23" t="n">
        <x:f>IF(OR(F128="",G128=""),"",ABS(F128-G128))</x:f>
        <x:v>0</x:v>
      </x:c>
      <x:c r="K128" s="23" t="str">
        <x:v>exact</x:v>
      </x:c>
    </x:row>
    <x:row r="129">
      <x:c r="A129" s="23" t="str">
        <x:v>d8ac8909-91a1-46b3-9fa6-2ff66b78fb66</x:v>
      </x:c>
      <x:c r="B129" s="23" t="str">
        <x:v>Conditioner Cream</x:v>
      </x:c>
      <x:c r="C129" s="23" t="str">
        <x:v>bond_specific_support</x:v>
      </x:c>
      <x:c r="D129" s="23" t="str">
        <x:v>unknown</x:v>
      </x:c>
      <x:c r="E129" s="23" t="str">
        <x:v>unknown</x:v>
      </x:c>
      <x:c r="F129" s="23" t="str"/>
      <x:c r="G129" s="23" t="str"/>
      <x:c r="H129" s="23" t="n">
        <x:f>IF(D129=E129,1,0)</x:f>
        <x:v>1</x:v>
      </x:c>
      <x:c r="I129" s="23" t="str">
        <x:f>IF(OR(F129="",G129=""),"",IF(ABS(F129-G129)&lt;=1,1,0))</x:f>
      </x:c>
      <x:c r="J129" s="23" t="str">
        <x:f>IF(OR(F129="",G129=""),"",ABS(F129-G129))</x:f>
      </x:c>
      <x:c r="K129" s="23" t="str">
        <x:v>exact</x:v>
      </x:c>
    </x:row>
    <x:row r="130">
      <x:c r="A130" s="23" t="str">
        <x:v>d8ac8909-91a1-46b3-9fa6-2ff66b78fb66</x:v>
      </x:c>
      <x:c r="B130" s="23" t="str">
        <x:v>Conditioner Cream</x:v>
      </x:c>
      <x:c r="C130" s="23" t="str">
        <x:v>color_chemical_damage_protection</x:v>
      </x:c>
      <x:c r="D130" s="23" t="str">
        <x:v>general_conditioning</x:v>
      </x:c>
      <x:c r="E130" s="23" t="str">
        <x:v>general_conditioning</x:v>
      </x:c>
      <x:c r="F130" s="23" t="n">
        <x:v>1</x:v>
      </x:c>
      <x:c r="G130" s="23" t="n">
        <x:v>1</x:v>
      </x:c>
      <x:c r="H130" s="23" t="n">
        <x:f>IF(D130=E130,1,0)</x:f>
        <x:v>1</x:v>
      </x:c>
      <x:c r="I130" s="23" t="n">
        <x:f>IF(OR(F130="",G130=""),"",IF(ABS(F130-G130)&lt;=1,1,0))</x:f>
        <x:v>1</x:v>
      </x:c>
      <x:c r="J130" s="23" t="n">
        <x:f>IF(OR(F130="",G130=""),"",ABS(F130-G130))</x:f>
        <x:v>0</x:v>
      </x:c>
      <x:c r="K130" s="23" t="str">
        <x:v>exact</x:v>
      </x:c>
    </x:row>
    <x:row r="131">
      <x:c r="A131" s="23" t="str">
        <x:v>d8ac8909-91a1-46b3-9fa6-2ff66b78fb66</x:v>
      </x:c>
      <x:c r="B131" s="23" t="str">
        <x:v>Conditioner Cream</x:v>
      </x:c>
      <x:c r="C131" s="23" t="str">
        <x:v>fragrance_scalp_exposure</x:v>
      </x:c>
      <x:c r="D131" s="23" t="str">
        <x:v>aromatic_or_allergen_exposure</x:v>
      </x:c>
      <x:c r="E131" s="23" t="str">
        <x:v>aromatic_or_allergen_exposure</x:v>
      </x:c>
      <x:c r="F131" s="23" t="str"/>
      <x:c r="G131" s="23" t="str"/>
      <x:c r="H131" s="23" t="n">
        <x:f>IF(D131=E131,1,0)</x:f>
        <x:v>1</x:v>
      </x:c>
      <x:c r="I131" s="23" t="str">
        <x:f>IF(OR(F131="",G131=""),"",IF(ABS(F131-G131)&lt;=1,1,0))</x:f>
      </x:c>
      <x:c r="J131" s="23" t="str">
        <x:f>IF(OR(F131="",G131=""),"",ABS(F131-G131))</x:f>
      </x:c>
      <x:c r="K131" s="23" t="str">
        <x:v>exact</x:v>
      </x:c>
    </x:row>
    <x:row r="132">
      <x:c r="A132" s="23" t="str">
        <x:v>d8ac8909-91a1-46b3-9fa6-2ff66b78fb66</x:v>
      </x:c>
      <x:c r="B132" s="23" t="str">
        <x:v>Conditioner Cream</x:v>
      </x:c>
      <x:c r="C132" s="23" t="str">
        <x:v>usage_role</x:v>
      </x:c>
      <x:c r="D132" s="23" t="str">
        <x:v>unknown</x:v>
      </x:c>
      <x:c r="E132" s="23" t="str">
        <x:v>unknown</x:v>
      </x:c>
      <x:c r="F132" s="23" t="str"/>
      <x:c r="G132" s="23" t="str"/>
      <x:c r="H132" s="23" t="n">
        <x:f>IF(D132=E132,1,0)</x:f>
        <x:v>1</x:v>
      </x:c>
      <x:c r="I132" s="23" t="str">
        <x:f>IF(OR(F132="",G132=""),"",IF(ABS(F132-G132)&lt;=1,1,0))</x:f>
      </x:c>
      <x:c r="J132" s="23" t="str">
        <x:f>IF(OR(F132="",G132=""),"",ABS(F132-G132))</x:f>
      </x:c>
      <x:c r="K132" s="23" t="str">
        <x:v>exact</x:v>
      </x:c>
    </x:row>
    <x:row r="133">
      <x:c r="A133" s="23" t="str">
        <x:v>4f67cb6d-4b28-490b-9817-e8fc8e91b010</x:v>
      </x:c>
      <x:c r="B133" s="23" t="str">
        <x:v>Colorglow Granatapfel Rose Conditioner</x:v>
      </x:c>
      <x:c r="C133" s="23" t="str">
        <x:v>conditioning_deposition_potential</x:v>
      </x:c>
      <x:c r="D133" s="23" t="str">
        <x:v>higher</x:v>
      </x:c>
      <x:c r="E133" s="23" t="str">
        <x:v>higher</x:v>
      </x:c>
      <x:c r="F133" s="23" t="n">
        <x:v>3</x:v>
      </x:c>
      <x:c r="G133" s="23" t="n">
        <x:v>3</x:v>
      </x:c>
      <x:c r="H133" s="23" t="n">
        <x:f>IF(D133=E133,1,0)</x:f>
        <x:v>1</x:v>
      </x:c>
      <x:c r="I133" s="23" t="n">
        <x:f>IF(OR(F133="",G133=""),"",IF(ABS(F133-G133)&lt;=1,1,0))</x:f>
        <x:v>1</x:v>
      </x:c>
      <x:c r="J133" s="23" t="n">
        <x:f>IF(OR(F133="",G133=""),"",ABS(F133-G133))</x:f>
        <x:v>0</x:v>
      </x:c>
      <x:c r="K133" s="23" t="str">
        <x:v>exact</x:v>
      </x:c>
    </x:row>
    <x:row r="134">
      <x:c r="A134" s="23" t="str">
        <x:v>4f67cb6d-4b28-490b-9817-e8fc8e91b010</x:v>
      </x:c>
      <x:c r="B134" s="23" t="str">
        <x:v>Colorglow Granatapfel Rose Conditioner</x:v>
      </x:c>
      <x:c r="C134" s="23" t="str">
        <x:v>wet_slip_detangling_potential</x:v>
      </x:c>
      <x:c r="D134" s="23" t="str">
        <x:v>higher</x:v>
      </x:c>
      <x:c r="E134" s="23" t="str">
        <x:v>higher</x:v>
      </x:c>
      <x:c r="F134" s="23" t="n">
        <x:v>3</x:v>
      </x:c>
      <x:c r="G134" s="23" t="n">
        <x:v>3</x:v>
      </x:c>
      <x:c r="H134" s="23" t="n">
        <x:f>IF(D134=E134,1,0)</x:f>
        <x:v>1</x:v>
      </x:c>
      <x:c r="I134" s="23" t="n">
        <x:f>IF(OR(F134="",G134=""),"",IF(ABS(F134-G134)&lt;=1,1,0))</x:f>
        <x:v>1</x:v>
      </x:c>
      <x:c r="J134" s="23" t="n">
        <x:f>IF(OR(F134="",G134=""),"",ABS(F134-G134))</x:f>
        <x:v>0</x:v>
      </x:c>
      <x:c r="K134" s="23" t="str">
        <x:v>exact</x:v>
      </x:c>
    </x:row>
    <x:row r="135">
      <x:c r="A135" s="23" t="str">
        <x:v>4f67cb6d-4b28-490b-9817-e8fc8e91b010</x:v>
      </x:c>
      <x:c r="B135" s="23" t="str">
        <x:v>Colorglow Granatapfel Rose Conditioner</x:v>
      </x:c>
      <x:c r="C135" s="23" t="str">
        <x:v>dry_combability_potential</x:v>
      </x:c>
      <x:c r="D135" s="23" t="str">
        <x:v>moderate</x:v>
      </x:c>
      <x:c r="E135" s="23" t="str">
        <x:v>moderate</x:v>
      </x:c>
      <x:c r="F135" s="23" t="n">
        <x:v>2</x:v>
      </x:c>
      <x:c r="G135" s="23" t="n">
        <x:v>2</x:v>
      </x:c>
      <x:c r="H135" s="23" t="n">
        <x:f>IF(D135=E135,1,0)</x:f>
        <x:v>1</x:v>
      </x:c>
      <x:c r="I135" s="23" t="n">
        <x:f>IF(OR(F135="",G135=""),"",IF(ABS(F135-G135)&lt;=1,1,0))</x:f>
        <x:v>1</x:v>
      </x:c>
      <x:c r="J135" s="23" t="n">
        <x:f>IF(OR(F135="",G135=""),"",ABS(F135-G135))</x:f>
        <x:v>0</x:v>
      </x:c>
      <x:c r="K135" s="23" t="str">
        <x:v>exact</x:v>
      </x:c>
    </x:row>
    <x:row r="136">
      <x:c r="A136" s="23" t="str">
        <x:v>4f67cb6d-4b28-490b-9817-e8fc8e91b010</x:v>
      </x:c>
      <x:c r="B136" s="23" t="str">
        <x:v>Colorglow Granatapfel Rose Conditioner</x:v>
      </x:c>
      <x:c r="C136" s="23" t="str">
        <x:v>surface_lubrication_softness_potential</x:v>
      </x:c>
      <x:c r="D136" s="23" t="str">
        <x:v>moderate</x:v>
      </x:c>
      <x:c r="E136" s="23" t="str">
        <x:v>higher</x:v>
      </x:c>
      <x:c r="F136" s="23" t="n">
        <x:v>2</x:v>
      </x:c>
      <x:c r="G136" s="23" t="n">
        <x:v>3</x:v>
      </x:c>
      <x:c r="H136" s="23" t="n">
        <x:f>IF(D136=E136,1,0)</x:f>
        <x:v>0</x:v>
      </x:c>
      <x:c r="I136" s="23" t="n">
        <x:f>IF(OR(F136="",G136=""),"",IF(ABS(F136-G136)&lt;=1,1,0))</x:f>
        <x:v>1</x:v>
      </x:c>
      <x:c r="J136" s="23" t="n">
        <x:f>IF(OR(F136="",G136=""),"",ABS(F136-G136))</x:f>
        <x:v>1</x:v>
      </x:c>
      <x:c r="K136" s="23" t="str">
        <x:v>shared_mechanism_double_counting</x:v>
      </x:c>
    </x:row>
    <x:row r="137">
      <x:c r="A137" s="23" t="str">
        <x:v>4f67cb6d-4b28-490b-9817-e8fc8e91b010</x:v>
      </x:c>
      <x:c r="B137" s="23" t="str">
        <x:v>Colorglow Granatapfel Rose Conditioner</x:v>
      </x:c>
      <x:c r="C137" s="23" t="str">
        <x:v>smoothing_frizz_control_potential</x:v>
      </x:c>
      <x:c r="D137" s="23" t="str">
        <x:v>moderate</x:v>
      </x:c>
      <x:c r="E137" s="23" t="str">
        <x:v>higher</x:v>
      </x:c>
      <x:c r="F137" s="23" t="n">
        <x:v>2</x:v>
      </x:c>
      <x:c r="G137" s="23" t="n">
        <x:v>3</x:v>
      </x:c>
      <x:c r="H137" s="23" t="n">
        <x:f>IF(D137=E137,1,0)</x:f>
        <x:v>0</x:v>
      </x:c>
      <x:c r="I137" s="23" t="n">
        <x:f>IF(OR(F137="",G137=""),"",IF(ABS(F137-G137)&lt;=1,1,0))</x:f>
        <x:v>1</x:v>
      </x:c>
      <x:c r="J137" s="23" t="n">
        <x:f>IF(OR(F137="",G137=""),"",ABS(F137-G137))</x:f>
        <x:v>1</x:v>
      </x:c>
      <x:c r="K137" s="23" t="str">
        <x:v>shared_mechanism_double_counting</x:v>
      </x:c>
    </x:row>
    <x:row r="138">
      <x:c r="A138" s="23" t="str">
        <x:v>4f67cb6d-4b28-490b-9817-e8fc8e91b010</x:v>
      </x:c>
      <x:c r="B138" s="23" t="str">
        <x:v>Colorglow Granatapfel Rose Conditioner</x:v>
      </x:c>
      <x:c r="C138" s="23" t="str">
        <x:v>shine_potential</x:v>
      </x:c>
      <x:c r="D138" s="23" t="str">
        <x:v>moderate</x:v>
      </x:c>
      <x:c r="E138" s="23" t="str">
        <x:v>higher</x:v>
      </x:c>
      <x:c r="F138" s="23" t="n">
        <x:v>2</x:v>
      </x:c>
      <x:c r="G138" s="23" t="n">
        <x:v>3</x:v>
      </x:c>
      <x:c r="H138" s="23" t="n">
        <x:f>IF(D138=E138,1,0)</x:f>
        <x:v>0</x:v>
      </x:c>
      <x:c r="I138" s="23" t="n">
        <x:f>IF(OR(F138="",G138=""),"",IF(ABS(F138-G138)&lt;=1,1,0))</x:f>
        <x:v>1</x:v>
      </x:c>
      <x:c r="J138" s="23" t="n">
        <x:f>IF(OR(F138="",G138=""),"",ABS(F138-G138))</x:f>
        <x:v>1</x:v>
      </x:c>
      <x:c r="K138" s="23" t="str">
        <x:v>shared_mechanism_double_counting</x:v>
      </x:c>
    </x:row>
    <x:row r="139">
      <x:c r="A139" s="23" t="str">
        <x:v>4f67cb6d-4b28-490b-9817-e8fc8e91b010</x:v>
      </x:c>
      <x:c r="B139" s="23" t="str">
        <x:v>Colorglow Granatapfel Rose Conditioner</x:v>
      </x:c>
      <x:c r="C139" s="23" t="str">
        <x:v>weight_deposition_potential</x:v>
      </x:c>
      <x:c r="D139" s="23" t="str">
        <x:v>moderate</x:v>
      </x:c>
      <x:c r="E139" s="23" t="str">
        <x:v>higher</x:v>
      </x:c>
      <x:c r="F139" s="23" t="n">
        <x:v>2</x:v>
      </x:c>
      <x:c r="G139" s="23" t="n">
        <x:v>3</x:v>
      </x:c>
      <x:c r="H139" s="23" t="n">
        <x:f>IF(D139=E139,1,0)</x:f>
        <x:v>0</x:v>
      </x:c>
      <x:c r="I139" s="23" t="n">
        <x:f>IF(OR(F139="",G139=""),"",IF(ABS(F139-G139)&lt;=1,1,0))</x:f>
        <x:v>1</x:v>
      </x:c>
      <x:c r="J139" s="23" t="n">
        <x:f>IF(OR(F139="",G139=""),"",ABS(F139-G139))</x:f>
        <x:v>1</x:v>
      </x:c>
      <x:c r="K139" s="23" t="str">
        <x:v>shared_mechanism_double_counting</x:v>
      </x:c>
    </x:row>
    <x:row r="140">
      <x:c r="A140" s="23" t="str">
        <x:v>4f67cb6d-4b28-490b-9817-e8fc8e91b010</x:v>
      </x:c>
      <x:c r="B140" s="23" t="str">
        <x:v>Colorglow Granatapfel Rose Conditioner</x:v>
      </x:c>
      <x:c r="C140" s="23" t="str">
        <x:v>rinse_behavior</x:v>
      </x:c>
      <x:c r="D140" s="23" t="str">
        <x:v>unknown</x:v>
      </x:c>
      <x:c r="E140" s="23" t="str">
        <x:v>unknown</x:v>
      </x:c>
      <x:c r="F140" s="23" t="str"/>
      <x:c r="G140" s="23" t="str"/>
      <x:c r="H140" s="23" t="n">
        <x:f>IF(D140=E140,1,0)</x:f>
        <x:v>1</x:v>
      </x:c>
      <x:c r="I140" s="23" t="str">
        <x:f>IF(OR(F140="",G140=""),"",IF(ABS(F140-G140)&lt;=1,1,0))</x:f>
      </x:c>
      <x:c r="J140" s="23" t="str">
        <x:f>IF(OR(F140="",G140=""),"",ABS(F140-G140))</x:f>
      </x:c>
      <x:c r="K140" s="23" t="str">
        <x:v>exact</x:v>
      </x:c>
    </x:row>
    <x:row r="141">
      <x:c r="A141" s="23" t="str">
        <x:v>4f67cb6d-4b28-490b-9817-e8fc8e91b010</x:v>
      </x:c>
      <x:c r="B141" s="23" t="str">
        <x:v>Colorglow Granatapfel Rose Conditioner</x:v>
      </x:c>
      <x:c r="C141" s="23" t="str">
        <x:v>cumulative_residue_risk</x:v>
      </x:c>
      <x:c r="D141" s="23" t="str">
        <x:v>indeterminate</x:v>
      </x:c>
      <x:c r="E141" s="23" t="str">
        <x:v>indeterminate</x:v>
      </x:c>
      <x:c r="F141" s="23" t="str"/>
      <x:c r="G141" s="23" t="str"/>
      <x:c r="H141" s="23" t="n">
        <x:f>IF(D141=E141,1,0)</x:f>
        <x:v>1</x:v>
      </x:c>
      <x:c r="I141" s="23" t="str">
        <x:f>IF(OR(F141="",G141=""),"",IF(ABS(F141-G141)&lt;=1,1,0))</x:f>
      </x:c>
      <x:c r="J141" s="23" t="str">
        <x:f>IF(OR(F141="",G141=""),"",ABS(F141-G141))</x:f>
      </x:c>
      <x:c r="K141" s="23" t="str">
        <x:v>exact</x:v>
      </x:c>
    </x:row>
    <x:row r="142">
      <x:c r="A142" s="23" t="str">
        <x:v>4f67cb6d-4b28-490b-9817-e8fc8e91b010</x:v>
      </x:c>
      <x:c r="B142" s="23" t="str">
        <x:v>Colorglow Granatapfel Rose Conditioner</x:v>
      </x:c>
      <x:c r="C142" s="23" t="str">
        <x:v>body_lightness_potential</x:v>
      </x:c>
      <x:c r="D142" s="23" t="str">
        <x:v>balanced</x:v>
      </x:c>
      <x:c r="E142" s="23" t="str">
        <x:v>likely_depositing</x:v>
      </x:c>
      <x:c r="F142" s="23" t="n">
        <x:v>2</x:v>
      </x:c>
      <x:c r="G142" s="23" t="n">
        <x:v>3</x:v>
      </x:c>
      <x:c r="H142" s="23" t="n">
        <x:f>IF(D142=E142,1,0)</x:f>
        <x:v>0</x:v>
      </x:c>
      <x:c r="I142" s="23" t="n">
        <x:f>IF(OR(F142="",G142=""),"",IF(ABS(F142-G142)&lt;=1,1,0))</x:f>
        <x:v>1</x:v>
      </x:c>
      <x:c r="J142" s="23" t="n">
        <x:f>IF(OR(F142="",G142=""),"",ABS(F142-G142))</x:f>
        <x:v>1</x:v>
      </x:c>
      <x:c r="K142" s="23" t="str">
        <x:v>shared_mechanism_double_counting</x:v>
      </x:c>
    </x:row>
    <x:row r="143">
      <x:c r="A143" s="23" t="str">
        <x:v>4f67cb6d-4b28-490b-9817-e8fc8e91b010</x:v>
      </x:c>
      <x:c r="B143" s="23" t="str">
        <x:v>Colorglow Granatapfel Rose Conditioner</x:v>
      </x:c>
      <x:c r="C143" s="23" t="str">
        <x:v>repair_lubrication_protection</x:v>
      </x:c>
      <x:c r="D143" s="23" t="str">
        <x:v>candidate</x:v>
      </x:c>
      <x:c r="E143" s="23" t="str">
        <x:v>candidate</x:v>
      </x:c>
      <x:c r="F143" s="23" t="n">
        <x:v>2</x:v>
      </x:c>
      <x:c r="G143" s="23" t="n">
        <x:v>2</x:v>
      </x:c>
      <x:c r="H143" s="23" t="n">
        <x:f>IF(D143=E143,1,0)</x:f>
        <x:v>1</x:v>
      </x:c>
      <x:c r="I143" s="23" t="n">
        <x:f>IF(OR(F143="",G143=""),"",IF(ABS(F143-G143)&lt;=1,1,0))</x:f>
        <x:v>1</x:v>
      </x:c>
      <x:c r="J143" s="23" t="n">
        <x:f>IF(OR(F143="",G143=""),"",ABS(F143-G143))</x:f>
        <x:v>0</x:v>
      </x:c>
      <x:c r="K143" s="23" t="str">
        <x:v>exact</x:v>
      </x:c>
    </x:row>
    <x:row r="144">
      <x:c r="A144" s="23" t="str">
        <x:v>4f67cb6d-4b28-490b-9817-e8fc8e91b010</x:v>
      </x:c>
      <x:c r="B144" s="23" t="str">
        <x:v>Colorglow Granatapfel Rose Conditioner</x:v>
      </x:c>
      <x:c r="C144" s="23" t="str">
        <x:v>repair_surface_film</x:v>
      </x:c>
      <x:c r="D144" s="23" t="str">
        <x:v>none_visible</x:v>
      </x:c>
      <x:c r="E144" s="23" t="str">
        <x:v>none_visible</x:v>
      </x:c>
      <x:c r="F144" s="23" t="n">
        <x:v>1</x:v>
      </x:c>
      <x:c r="G144" s="23" t="n">
        <x:v>1</x:v>
      </x:c>
      <x:c r="H144" s="23" t="n">
        <x:f>IF(D144=E144,1,0)</x:f>
        <x:v>1</x:v>
      </x:c>
      <x:c r="I144" s="23" t="n">
        <x:f>IF(OR(F144="",G144=""),"",IF(ABS(F144-G144)&lt;=1,1,0))</x:f>
        <x:v>1</x:v>
      </x:c>
      <x:c r="J144" s="23" t="n">
        <x:f>IF(OR(F144="",G144=""),"",ABS(F144-G144))</x:f>
        <x:v>0</x:v>
      </x:c>
      <x:c r="K144" s="23" t="str">
        <x:v>exact</x:v>
      </x:c>
    </x:row>
    <x:row r="145">
      <x:c r="A145" s="23" t="str">
        <x:v>4f67cb6d-4b28-490b-9817-e8fc8e91b010</x:v>
      </x:c>
      <x:c r="B145" s="23" t="str">
        <x:v>Colorglow Granatapfel Rose Conditioner</x:v>
      </x:c>
      <x:c r="C145" s="23" t="str">
        <x:v>bond_specific_support</x:v>
      </x:c>
      <x:c r="D145" s="23" t="str">
        <x:v>unknown</x:v>
      </x:c>
      <x:c r="E145" s="23" t="str">
        <x:v>unknown</x:v>
      </x:c>
      <x:c r="F145" s="23" t="str"/>
      <x:c r="G145" s="23" t="str"/>
      <x:c r="H145" s="23" t="n">
        <x:f>IF(D145=E145,1,0)</x:f>
        <x:v>1</x:v>
      </x:c>
      <x:c r="I145" s="23" t="str">
        <x:f>IF(OR(F145="",G145=""),"",IF(ABS(F145-G145)&lt;=1,1,0))</x:f>
      </x:c>
      <x:c r="J145" s="23" t="str">
        <x:f>IF(OR(F145="",G145=""),"",ABS(F145-G145))</x:f>
      </x:c>
      <x:c r="K145" s="23" t="str">
        <x:v>exact</x:v>
      </x:c>
    </x:row>
    <x:row r="146">
      <x:c r="A146" s="23" t="str">
        <x:v>4f67cb6d-4b28-490b-9817-e8fc8e91b010</x:v>
      </x:c>
      <x:c r="B146" s="23" t="str">
        <x:v>Colorglow Granatapfel Rose Conditioner</x:v>
      </x:c>
      <x:c r="C146" s="23" t="str">
        <x:v>color_chemical_damage_protection</x:v>
      </x:c>
      <x:c r="D146" s="23" t="str">
        <x:v>candidate</x:v>
      </x:c>
      <x:c r="E146" s="23" t="str">
        <x:v>candidate</x:v>
      </x:c>
      <x:c r="F146" s="23" t="n">
        <x:v>2</x:v>
      </x:c>
      <x:c r="G146" s="23" t="n">
        <x:v>2</x:v>
      </x:c>
      <x:c r="H146" s="23" t="n">
        <x:f>IF(D146=E146,1,0)</x:f>
        <x:v>1</x:v>
      </x:c>
      <x:c r="I146" s="23" t="n">
        <x:f>IF(OR(F146="",G146=""),"",IF(ABS(F146-G146)&lt;=1,1,0))</x:f>
        <x:v>1</x:v>
      </x:c>
      <x:c r="J146" s="23" t="n">
        <x:f>IF(OR(F146="",G146=""),"",ABS(F146-G146))</x:f>
        <x:v>0</x:v>
      </x:c>
      <x:c r="K146" s="23" t="str">
        <x:v>exact</x:v>
      </x:c>
    </x:row>
    <x:row r="147">
      <x:c r="A147" s="23" t="str">
        <x:v>4f67cb6d-4b28-490b-9817-e8fc8e91b010</x:v>
      </x:c>
      <x:c r="B147" s="23" t="str">
        <x:v>Colorglow Granatapfel Rose Conditioner</x:v>
      </x:c>
      <x:c r="C147" s="23" t="str">
        <x:v>fragrance_scalp_exposure</x:v>
      </x:c>
      <x:c r="D147" s="23" t="str">
        <x:v>fragrance_declared</x:v>
      </x:c>
      <x:c r="E147" s="23" t="str">
        <x:v>fragrance_declared</x:v>
      </x:c>
      <x:c r="F147" s="23" t="str"/>
      <x:c r="G147" s="23" t="str"/>
      <x:c r="H147" s="23" t="n">
        <x:f>IF(D147=E147,1,0)</x:f>
        <x:v>1</x:v>
      </x:c>
      <x:c r="I147" s="23" t="str">
        <x:f>IF(OR(F147="",G147=""),"",IF(ABS(F147-G147)&lt;=1,1,0))</x:f>
      </x:c>
      <x:c r="J147" s="23" t="str">
        <x:f>IF(OR(F147="",G147=""),"",ABS(F147-G147))</x:f>
      </x:c>
      <x:c r="K147" s="23" t="str">
        <x:v>exact</x:v>
      </x:c>
    </x:row>
    <x:row r="148">
      <x:c r="A148" s="23" t="str">
        <x:v>4f67cb6d-4b28-490b-9817-e8fc8e91b010</x:v>
      </x:c>
      <x:c r="B148" s="23" t="str">
        <x:v>Colorglow Granatapfel Rose Conditioner</x:v>
      </x:c>
      <x:c r="C148" s="23" t="str">
        <x:v>usage_role</x:v>
      </x:c>
      <x:c r="D148" s="23" t="str">
        <x:v>unknown</x:v>
      </x:c>
      <x:c r="E148" s="23" t="str">
        <x:v>unknown</x:v>
      </x:c>
      <x:c r="F148" s="23" t="str"/>
      <x:c r="G148" s="23" t="str"/>
      <x:c r="H148" s="23" t="n">
        <x:f>IF(D148=E148,1,0)</x:f>
        <x:v>1</x:v>
      </x:c>
      <x:c r="I148" s="23" t="str">
        <x:f>IF(OR(F148="",G148=""),"",IF(ABS(F148-G148)&lt;=1,1,0))</x:f>
      </x:c>
      <x:c r="J148" s="23" t="str">
        <x:f>IF(OR(F148="",G148=""),"",ABS(F148-G148))</x:f>
      </x:c>
      <x:c r="K148" s="23" t="str">
        <x:v>exact</x:v>
      </x:c>
    </x:row>
    <x:row r="149">
      <x:c r="A149" s="23" t="str">
        <x:v>8182ee3f-cfe9-4a31-8b2f-a6a52c7e7abe</x:v>
      </x:c>
      <x:c r="B149" s="23" t="str">
        <x:v>Moisturising Conditioner Reisegröße</x:v>
      </x:c>
      <x:c r="C149" s="23" t="str">
        <x:v>conditioning_deposition_potential</x:v>
      </x:c>
      <x:c r="D149" s="23" t="str">
        <x:v>moderate</x:v>
      </x:c>
      <x:c r="E149" s="23" t="str">
        <x:v>moderate</x:v>
      </x:c>
      <x:c r="F149" s="23" t="n">
        <x:v>2</x:v>
      </x:c>
      <x:c r="G149" s="23" t="n">
        <x:v>2</x:v>
      </x:c>
      <x:c r="H149" s="23" t="n">
        <x:f>IF(D149=E149,1,0)</x:f>
        <x:v>1</x:v>
      </x:c>
      <x:c r="I149" s="23" t="n">
        <x:f>IF(OR(F149="",G149=""),"",IF(ABS(F149-G149)&lt;=1,1,0))</x:f>
        <x:v>1</x:v>
      </x:c>
      <x:c r="J149" s="23" t="n">
        <x:f>IF(OR(F149="",G149=""),"",ABS(F149-G149))</x:f>
        <x:v>0</x:v>
      </x:c>
      <x:c r="K149" s="23" t="str">
        <x:v>exact</x:v>
      </x:c>
    </x:row>
    <x:row r="150">
      <x:c r="A150" s="23" t="str">
        <x:v>8182ee3f-cfe9-4a31-8b2f-a6a52c7e7abe</x:v>
      </x:c>
      <x:c r="B150" s="23" t="str">
        <x:v>Moisturising Conditioner Reisegröße</x:v>
      </x:c>
      <x:c r="C150" s="23" t="str">
        <x:v>wet_slip_detangling_potential</x:v>
      </x:c>
      <x:c r="D150" s="23" t="str">
        <x:v>moderate</x:v>
      </x:c>
      <x:c r="E150" s="23" t="str">
        <x:v>moderate</x:v>
      </x:c>
      <x:c r="F150" s="23" t="n">
        <x:v>2</x:v>
      </x:c>
      <x:c r="G150" s="23" t="n">
        <x:v>2</x:v>
      </x:c>
      <x:c r="H150" s="23" t="n">
        <x:f>IF(D150=E150,1,0)</x:f>
        <x:v>1</x:v>
      </x:c>
      <x:c r="I150" s="23" t="n">
        <x:f>IF(OR(F150="",G150=""),"",IF(ABS(F150-G150)&lt;=1,1,0))</x:f>
        <x:v>1</x:v>
      </x:c>
      <x:c r="J150" s="23" t="n">
        <x:f>IF(OR(F150="",G150=""),"",ABS(F150-G150))</x:f>
        <x:v>0</x:v>
      </x:c>
      <x:c r="K150" s="23" t="str">
        <x:v>exact</x:v>
      </x:c>
    </x:row>
    <x:row r="151">
      <x:c r="A151" s="23" t="str">
        <x:v>8182ee3f-cfe9-4a31-8b2f-a6a52c7e7abe</x:v>
      </x:c>
      <x:c r="B151" s="23" t="str">
        <x:v>Moisturising Conditioner Reisegröße</x:v>
      </x:c>
      <x:c r="C151" s="23" t="str">
        <x:v>dry_combability_potential</x:v>
      </x:c>
      <x:c r="D151" s="23" t="str">
        <x:v>moderate</x:v>
      </x:c>
      <x:c r="E151" s="23" t="str">
        <x:v>moderate</x:v>
      </x:c>
      <x:c r="F151" s="23" t="n">
        <x:v>2</x:v>
      </x:c>
      <x:c r="G151" s="23" t="n">
        <x:v>2</x:v>
      </x:c>
      <x:c r="H151" s="23" t="n">
        <x:f>IF(D151=E151,1,0)</x:f>
        <x:v>1</x:v>
      </x:c>
      <x:c r="I151" s="23" t="n">
        <x:f>IF(OR(F151="",G151=""),"",IF(ABS(F151-G151)&lt;=1,1,0))</x:f>
        <x:v>1</x:v>
      </x:c>
      <x:c r="J151" s="23" t="n">
        <x:f>IF(OR(F151="",G151=""),"",ABS(F151-G151))</x:f>
        <x:v>0</x:v>
      </x:c>
      <x:c r="K151" s="23" t="str">
        <x:v>exact</x:v>
      </x:c>
    </x:row>
    <x:row r="152">
      <x:c r="A152" s="23" t="str">
        <x:v>8182ee3f-cfe9-4a31-8b2f-a6a52c7e7abe</x:v>
      </x:c>
      <x:c r="B152" s="23" t="str">
        <x:v>Moisturising Conditioner Reisegröße</x:v>
      </x:c>
      <x:c r="C152" s="23" t="str">
        <x:v>surface_lubrication_softness_potential</x:v>
      </x:c>
      <x:c r="D152" s="23" t="str">
        <x:v>moderate</x:v>
      </x:c>
      <x:c r="E152" s="23" t="str">
        <x:v>moderate</x:v>
      </x:c>
      <x:c r="F152" s="23" t="n">
        <x:v>2</x:v>
      </x:c>
      <x:c r="G152" s="23" t="n">
        <x:v>2</x:v>
      </x:c>
      <x:c r="H152" s="23" t="n">
        <x:f>IF(D152=E152,1,0)</x:f>
        <x:v>1</x:v>
      </x:c>
      <x:c r="I152" s="23" t="n">
        <x:f>IF(OR(F152="",G152=""),"",IF(ABS(F152-G152)&lt;=1,1,0))</x:f>
        <x:v>1</x:v>
      </x:c>
      <x:c r="J152" s="23" t="n">
        <x:f>IF(OR(F152="",G152=""),"",ABS(F152-G152))</x:f>
        <x:v>0</x:v>
      </x:c>
      <x:c r="K152" s="23" t="str">
        <x:v>exact</x:v>
      </x:c>
    </x:row>
    <x:row r="153">
      <x:c r="A153" s="23" t="str">
        <x:v>8182ee3f-cfe9-4a31-8b2f-a6a52c7e7abe</x:v>
      </x:c>
      <x:c r="B153" s="23" t="str">
        <x:v>Moisturising Conditioner Reisegröße</x:v>
      </x:c>
      <x:c r="C153" s="23" t="str">
        <x:v>smoothing_frizz_control_potential</x:v>
      </x:c>
      <x:c r="D153" s="23" t="str">
        <x:v>moderate</x:v>
      </x:c>
      <x:c r="E153" s="23" t="str">
        <x:v>moderate</x:v>
      </x:c>
      <x:c r="F153" s="23" t="n">
        <x:v>2</x:v>
      </x:c>
      <x:c r="G153" s="23" t="n">
        <x:v>2</x:v>
      </x:c>
      <x:c r="H153" s="23" t="n">
        <x:f>IF(D153=E153,1,0)</x:f>
        <x:v>1</x:v>
      </x:c>
      <x:c r="I153" s="23" t="n">
        <x:f>IF(OR(F153="",G153=""),"",IF(ABS(F153-G153)&lt;=1,1,0))</x:f>
        <x:v>1</x:v>
      </x:c>
      <x:c r="J153" s="23" t="n">
        <x:f>IF(OR(F153="",G153=""),"",ABS(F153-G153))</x:f>
        <x:v>0</x:v>
      </x:c>
      <x:c r="K153" s="23" t="str">
        <x:v>exact</x:v>
      </x:c>
    </x:row>
    <x:row r="154">
      <x:c r="A154" s="23" t="str">
        <x:v>8182ee3f-cfe9-4a31-8b2f-a6a52c7e7abe</x:v>
      </x:c>
      <x:c r="B154" s="23" t="str">
        <x:v>Moisturising Conditioner Reisegröße</x:v>
      </x:c>
      <x:c r="C154" s="23" t="str">
        <x:v>shine_potential</x:v>
      </x:c>
      <x:c r="D154" s="23" t="str">
        <x:v>moderate</x:v>
      </x:c>
      <x:c r="E154" s="23" t="str">
        <x:v>moderate</x:v>
      </x:c>
      <x:c r="F154" s="23" t="n">
        <x:v>2</x:v>
      </x:c>
      <x:c r="G154" s="23" t="n">
        <x:v>2</x:v>
      </x:c>
      <x:c r="H154" s="23" t="n">
        <x:f>IF(D154=E154,1,0)</x:f>
        <x:v>1</x:v>
      </x:c>
      <x:c r="I154" s="23" t="n">
        <x:f>IF(OR(F154="",G154=""),"",IF(ABS(F154-G154)&lt;=1,1,0))</x:f>
        <x:v>1</x:v>
      </x:c>
      <x:c r="J154" s="23" t="n">
        <x:f>IF(OR(F154="",G154=""),"",ABS(F154-G154))</x:f>
        <x:v>0</x:v>
      </x:c>
      <x:c r="K154" s="23" t="str">
        <x:v>exact</x:v>
      </x:c>
    </x:row>
    <x:row r="155">
      <x:c r="A155" s="23" t="str">
        <x:v>8182ee3f-cfe9-4a31-8b2f-a6a52c7e7abe</x:v>
      </x:c>
      <x:c r="B155" s="23" t="str">
        <x:v>Moisturising Conditioner Reisegröße</x:v>
      </x:c>
      <x:c r="C155" s="23" t="str">
        <x:v>weight_deposition_potential</x:v>
      </x:c>
      <x:c r="D155" s="23" t="str">
        <x:v>higher</x:v>
      </x:c>
      <x:c r="E155" s="23" t="str">
        <x:v>higher</x:v>
      </x:c>
      <x:c r="F155" s="23" t="n">
        <x:v>3</x:v>
      </x:c>
      <x:c r="G155" s="23" t="n">
        <x:v>3</x:v>
      </x:c>
      <x:c r="H155" s="23" t="n">
        <x:f>IF(D155=E155,1,0)</x:f>
        <x:v>1</x:v>
      </x:c>
      <x:c r="I155" s="23" t="n">
        <x:f>IF(OR(F155="",G155=""),"",IF(ABS(F155-G155)&lt;=1,1,0))</x:f>
        <x:v>1</x:v>
      </x:c>
      <x:c r="J155" s="23" t="n">
        <x:f>IF(OR(F155="",G155=""),"",ABS(F155-G155))</x:f>
        <x:v>0</x:v>
      </x:c>
      <x:c r="K155" s="23" t="str">
        <x:v>exact</x:v>
      </x:c>
    </x:row>
    <x:row r="156">
      <x:c r="A156" s="23" t="str">
        <x:v>8182ee3f-cfe9-4a31-8b2f-a6a52c7e7abe</x:v>
      </x:c>
      <x:c r="B156" s="23" t="str">
        <x:v>Moisturising Conditioner Reisegröße</x:v>
      </x:c>
      <x:c r="C156" s="23" t="str">
        <x:v>rinse_behavior</x:v>
      </x:c>
      <x:c r="D156" s="23" t="str">
        <x:v>unknown</x:v>
      </x:c>
      <x:c r="E156" s="23" t="str">
        <x:v>unknown</x:v>
      </x:c>
      <x:c r="F156" s="23" t="str"/>
      <x:c r="G156" s="23" t="str"/>
      <x:c r="H156" s="23" t="n">
        <x:f>IF(D156=E156,1,0)</x:f>
        <x:v>1</x:v>
      </x:c>
      <x:c r="I156" s="23" t="str">
        <x:f>IF(OR(F156="",G156=""),"",IF(ABS(F156-G156)&lt;=1,1,0))</x:f>
      </x:c>
      <x:c r="J156" s="23" t="str">
        <x:f>IF(OR(F156="",G156=""),"",ABS(F156-G156))</x:f>
      </x:c>
      <x:c r="K156" s="23" t="str">
        <x:v>exact</x:v>
      </x:c>
    </x:row>
    <x:row r="157">
      <x:c r="A157" s="23" t="str">
        <x:v>8182ee3f-cfe9-4a31-8b2f-a6a52c7e7abe</x:v>
      </x:c>
      <x:c r="B157" s="23" t="str">
        <x:v>Moisturising Conditioner Reisegröße</x:v>
      </x:c>
      <x:c r="C157" s="23" t="str">
        <x:v>cumulative_residue_risk</x:v>
      </x:c>
      <x:c r="D157" s="23" t="str">
        <x:v>indeterminate</x:v>
      </x:c>
      <x:c r="E157" s="23" t="str">
        <x:v>indeterminate</x:v>
      </x:c>
      <x:c r="F157" s="23" t="str"/>
      <x:c r="G157" s="23" t="str"/>
      <x:c r="H157" s="23" t="n">
        <x:f>IF(D157=E157,1,0)</x:f>
        <x:v>1</x:v>
      </x:c>
      <x:c r="I157" s="23" t="str">
        <x:f>IF(OR(F157="",G157=""),"",IF(ABS(F157-G157)&lt;=1,1,0))</x:f>
      </x:c>
      <x:c r="J157" s="23" t="str">
        <x:f>IF(OR(F157="",G157=""),"",ABS(F157-G157))</x:f>
      </x:c>
      <x:c r="K157" s="23" t="str">
        <x:v>exact</x:v>
      </x:c>
    </x:row>
    <x:row r="158">
      <x:c r="A158" s="23" t="str">
        <x:v>8182ee3f-cfe9-4a31-8b2f-a6a52c7e7abe</x:v>
      </x:c>
      <x:c r="B158" s="23" t="str">
        <x:v>Moisturising Conditioner Reisegröße</x:v>
      </x:c>
      <x:c r="C158" s="23" t="str">
        <x:v>body_lightness_potential</x:v>
      </x:c>
      <x:c r="D158" s="23" t="str">
        <x:v>likely_depositing</x:v>
      </x:c>
      <x:c r="E158" s="23" t="str">
        <x:v>likely_depositing</x:v>
      </x:c>
      <x:c r="F158" s="23" t="n">
        <x:v>3</x:v>
      </x:c>
      <x:c r="G158" s="23" t="n">
        <x:v>3</x:v>
      </x:c>
      <x:c r="H158" s="23" t="n">
        <x:f>IF(D158=E158,1,0)</x:f>
        <x:v>1</x:v>
      </x:c>
      <x:c r="I158" s="23" t="n">
        <x:f>IF(OR(F158="",G158=""),"",IF(ABS(F158-G158)&lt;=1,1,0))</x:f>
        <x:v>1</x:v>
      </x:c>
      <x:c r="J158" s="23" t="n">
        <x:f>IF(OR(F158="",G158=""),"",ABS(F158-G158))</x:f>
        <x:v>0</x:v>
      </x:c>
      <x:c r="K158" s="23" t="str">
        <x:v>exact</x:v>
      </x:c>
    </x:row>
    <x:row r="159">
      <x:c r="A159" s="23" t="str">
        <x:v>8182ee3f-cfe9-4a31-8b2f-a6a52c7e7abe</x:v>
      </x:c>
      <x:c r="B159" s="23" t="str">
        <x:v>Moisturising Conditioner Reisegröße</x:v>
      </x:c>
      <x:c r="C159" s="23" t="str">
        <x:v>repair_lubrication_protection</x:v>
      </x:c>
      <x:c r="D159" s="23" t="str">
        <x:v>candidate</x:v>
      </x:c>
      <x:c r="E159" s="23" t="str">
        <x:v>candidate</x:v>
      </x:c>
      <x:c r="F159" s="23" t="n">
        <x:v>2</x:v>
      </x:c>
      <x:c r="G159" s="23" t="n">
        <x:v>2</x:v>
      </x:c>
      <x:c r="H159" s="23" t="n">
        <x:f>IF(D159=E159,1,0)</x:f>
        <x:v>1</x:v>
      </x:c>
      <x:c r="I159" s="23" t="n">
        <x:f>IF(OR(F159="",G159=""),"",IF(ABS(F159-G159)&lt;=1,1,0))</x:f>
        <x:v>1</x:v>
      </x:c>
      <x:c r="J159" s="23" t="n">
        <x:f>IF(OR(F159="",G159=""),"",ABS(F159-G159))</x:f>
        <x:v>0</x:v>
      </x:c>
      <x:c r="K159" s="23" t="str">
        <x:v>exact</x:v>
      </x:c>
    </x:row>
    <x:row r="160">
      <x:c r="A160" s="23" t="str">
        <x:v>8182ee3f-cfe9-4a31-8b2f-a6a52c7e7abe</x:v>
      </x:c>
      <x:c r="B160" s="23" t="str">
        <x:v>Moisturising Conditioner Reisegröße</x:v>
      </x:c>
      <x:c r="C160" s="23" t="str">
        <x:v>repair_surface_film</x:v>
      </x:c>
      <x:c r="D160" s="23" t="str">
        <x:v>none_visible</x:v>
      </x:c>
      <x:c r="E160" s="23" t="str">
        <x:v>candidate</x:v>
      </x:c>
      <x:c r="F160" s="23" t="n">
        <x:v>1</x:v>
      </x:c>
      <x:c r="G160" s="23" t="n">
        <x:v>2</x:v>
      </x:c>
      <x:c r="H160" s="23" t="n">
        <x:f>IF(D160=E160,1,0)</x:f>
        <x:v>0</x:v>
      </x:c>
      <x:c r="I160" s="23" t="n">
        <x:f>IF(OR(F160="",G160=""),"",IF(ABS(F160-G160)&lt;=1,1,0))</x:f>
        <x:v>1</x:v>
      </x:c>
      <x:c r="J160" s="23" t="n">
        <x:f>IF(OR(F160="",G160=""),"",ABS(F160-G160))</x:f>
        <x:v>1</x:v>
      </x:c>
      <x:c r="K160" s="23" t="str">
        <x:v>rheology_signal_overextension</x:v>
      </x:c>
    </x:row>
    <x:row r="161">
      <x:c r="A161" s="23" t="str">
        <x:v>8182ee3f-cfe9-4a31-8b2f-a6a52c7e7abe</x:v>
      </x:c>
      <x:c r="B161" s="23" t="str">
        <x:v>Moisturising Conditioner Reisegröße</x:v>
      </x:c>
      <x:c r="C161" s="23" t="str">
        <x:v>bond_specific_support</x:v>
      </x:c>
      <x:c r="D161" s="23" t="str">
        <x:v>unknown</x:v>
      </x:c>
      <x:c r="E161" s="23" t="str">
        <x:v>unknown</x:v>
      </x:c>
      <x:c r="F161" s="23" t="str"/>
      <x:c r="G161" s="23" t="str"/>
      <x:c r="H161" s="23" t="n">
        <x:f>IF(D161=E161,1,0)</x:f>
        <x:v>1</x:v>
      </x:c>
      <x:c r="I161" s="23" t="str">
        <x:f>IF(OR(F161="",G161=""),"",IF(ABS(F161-G161)&lt;=1,1,0))</x:f>
      </x:c>
      <x:c r="J161" s="23" t="str">
        <x:f>IF(OR(F161="",G161=""),"",ABS(F161-G161))</x:f>
      </x:c>
      <x:c r="K161" s="23" t="str">
        <x:v>exact</x:v>
      </x:c>
    </x:row>
    <x:row r="162">
      <x:c r="A162" s="23" t="str">
        <x:v>8182ee3f-cfe9-4a31-8b2f-a6a52c7e7abe</x:v>
      </x:c>
      <x:c r="B162" s="23" t="str">
        <x:v>Moisturising Conditioner Reisegröße</x:v>
      </x:c>
      <x:c r="C162" s="23" t="str">
        <x:v>color_chemical_damage_protection</x:v>
      </x:c>
      <x:c r="D162" s="23" t="str">
        <x:v>general_conditioning</x:v>
      </x:c>
      <x:c r="E162" s="23" t="str">
        <x:v>general_conditioning</x:v>
      </x:c>
      <x:c r="F162" s="23" t="n">
        <x:v>1</x:v>
      </x:c>
      <x:c r="G162" s="23" t="n">
        <x:v>1</x:v>
      </x:c>
      <x:c r="H162" s="23" t="n">
        <x:f>IF(D162=E162,1,0)</x:f>
        <x:v>1</x:v>
      </x:c>
      <x:c r="I162" s="23" t="n">
        <x:f>IF(OR(F162="",G162=""),"",IF(ABS(F162-G162)&lt;=1,1,0))</x:f>
        <x:v>1</x:v>
      </x:c>
      <x:c r="J162" s="23" t="n">
        <x:f>IF(OR(F162="",G162=""),"",ABS(F162-G162))</x:f>
        <x:v>0</x:v>
      </x:c>
      <x:c r="K162" s="23" t="str">
        <x:v>exact</x:v>
      </x:c>
    </x:row>
    <x:row r="163">
      <x:c r="A163" s="23" t="str">
        <x:v>8182ee3f-cfe9-4a31-8b2f-a6a52c7e7abe</x:v>
      </x:c>
      <x:c r="B163" s="23" t="str">
        <x:v>Moisturising Conditioner Reisegröße</x:v>
      </x:c>
      <x:c r="C163" s="23" t="str">
        <x:v>fragrance_scalp_exposure</x:v>
      </x:c>
      <x:c r="D163" s="23" t="str">
        <x:v>aromatic_or_allergen_exposure</x:v>
      </x:c>
      <x:c r="E163" s="23" t="str">
        <x:v>aromatic_or_allergen_exposure</x:v>
      </x:c>
      <x:c r="F163" s="23" t="str"/>
      <x:c r="G163" s="23" t="str"/>
      <x:c r="H163" s="23" t="n">
        <x:f>IF(D163=E163,1,0)</x:f>
        <x:v>1</x:v>
      </x:c>
      <x:c r="I163" s="23" t="str">
        <x:f>IF(OR(F163="",G163=""),"",IF(ABS(F163-G163)&lt;=1,1,0))</x:f>
      </x:c>
      <x:c r="J163" s="23" t="str">
        <x:f>IF(OR(F163="",G163=""),"",ABS(F163-G163))</x:f>
      </x:c>
      <x:c r="K163" s="23" t="str">
        <x:v>exact</x:v>
      </x:c>
    </x:row>
    <x:row r="164">
      <x:c r="A164" s="23" t="str">
        <x:v>8182ee3f-cfe9-4a31-8b2f-a6a52c7e7abe</x:v>
      </x:c>
      <x:c r="B164" s="23" t="str">
        <x:v>Moisturising Conditioner Reisegröße</x:v>
      </x:c>
      <x:c r="C164" s="23" t="str">
        <x:v>usage_role</x:v>
      </x:c>
      <x:c r="D164" s="23" t="str">
        <x:v>unknown</x:v>
      </x:c>
      <x:c r="E164" s="23" t="str">
        <x:v>unknown</x:v>
      </x:c>
      <x:c r="F164" s="23" t="str"/>
      <x:c r="G164" s="23" t="str"/>
      <x:c r="H164" s="23" t="n">
        <x:f>IF(D164=E164,1,0)</x:f>
        <x:v>1</x:v>
      </x:c>
      <x:c r="I164" s="23" t="str">
        <x:f>IF(OR(F164="",G164=""),"",IF(ABS(F164-G164)&lt;=1,1,0))</x:f>
      </x:c>
      <x:c r="J164" s="23" t="str">
        <x:f>IF(OR(F164="",G164=""),"",ABS(F164-G164))</x:f>
      </x:c>
      <x:c r="K164" s="23" t="str">
        <x:v>exact</x:v>
      </x:c>
    </x:row>
    <x:row r="165">
      <x:c r="A165" s="23" t="str">
        <x:v>9f8da740-87b6-45e0-ab86-d77d63f2e22b</x:v>
      </x:c>
      <x:c r="B165" s="23" t="str">
        <x:v>Bond+ Reparatur Spülung</x:v>
      </x:c>
      <x:c r="C165" s="23" t="str">
        <x:v>conditioning_deposition_potential</x:v>
      </x:c>
      <x:c r="D165" s="23" t="str">
        <x:v>higher</x:v>
      </x:c>
      <x:c r="E165" s="23" t="str">
        <x:v>higher</x:v>
      </x:c>
      <x:c r="F165" s="23" t="n">
        <x:v>3</x:v>
      </x:c>
      <x:c r="G165" s="23" t="n">
        <x:v>3</x:v>
      </x:c>
      <x:c r="H165" s="23" t="n">
        <x:f>IF(D165=E165,1,0)</x:f>
        <x:v>1</x:v>
      </x:c>
      <x:c r="I165" s="23" t="n">
        <x:f>IF(OR(F165="",G165=""),"",IF(ABS(F165-G165)&lt;=1,1,0))</x:f>
        <x:v>1</x:v>
      </x:c>
      <x:c r="J165" s="23" t="n">
        <x:f>IF(OR(F165="",G165=""),"",ABS(F165-G165))</x:f>
        <x:v>0</x:v>
      </x:c>
      <x:c r="K165" s="23" t="str">
        <x:v>exact</x:v>
      </x:c>
    </x:row>
    <x:row r="166">
      <x:c r="A166" s="23" t="str">
        <x:v>9f8da740-87b6-45e0-ab86-d77d63f2e22b</x:v>
      </x:c>
      <x:c r="B166" s="23" t="str">
        <x:v>Bond+ Reparatur Spülung</x:v>
      </x:c>
      <x:c r="C166" s="23" t="str">
        <x:v>wet_slip_detangling_potential</x:v>
      </x:c>
      <x:c r="D166" s="23" t="str">
        <x:v>higher</x:v>
      </x:c>
      <x:c r="E166" s="23" t="str">
        <x:v>higher</x:v>
      </x:c>
      <x:c r="F166" s="23" t="n">
        <x:v>3</x:v>
      </x:c>
      <x:c r="G166" s="23" t="n">
        <x:v>3</x:v>
      </x:c>
      <x:c r="H166" s="23" t="n">
        <x:f>IF(D166=E166,1,0)</x:f>
        <x:v>1</x:v>
      </x:c>
      <x:c r="I166" s="23" t="n">
        <x:f>IF(OR(F166="",G166=""),"",IF(ABS(F166-G166)&lt;=1,1,0))</x:f>
        <x:v>1</x:v>
      </x:c>
      <x:c r="J166" s="23" t="n">
        <x:f>IF(OR(F166="",G166=""),"",ABS(F166-G166))</x:f>
        <x:v>0</x:v>
      </x:c>
      <x:c r="K166" s="23" t="str">
        <x:v>exact</x:v>
      </x:c>
    </x:row>
    <x:row r="167">
      <x:c r="A167" s="23" t="str">
        <x:v>9f8da740-87b6-45e0-ab86-d77d63f2e22b</x:v>
      </x:c>
      <x:c r="B167" s="23" t="str">
        <x:v>Bond+ Reparatur Spülung</x:v>
      </x:c>
      <x:c r="C167" s="23" t="str">
        <x:v>dry_combability_potential</x:v>
      </x:c>
      <x:c r="D167" s="23" t="str">
        <x:v>moderate</x:v>
      </x:c>
      <x:c r="E167" s="23" t="str">
        <x:v>higher</x:v>
      </x:c>
      <x:c r="F167" s="23" t="n">
        <x:v>2</x:v>
      </x:c>
      <x:c r="G167" s="23" t="n">
        <x:v>3</x:v>
      </x:c>
      <x:c r="H167" s="23" t="n">
        <x:f>IF(D167=E167,1,0)</x:f>
        <x:v>0</x:v>
      </x:c>
      <x:c r="I167" s="23" t="n">
        <x:f>IF(OR(F167="",G167=""),"",IF(ABS(F167-G167)&lt;=1,1,0))</x:f>
        <x:v>1</x:v>
      </x:c>
      <x:c r="J167" s="23" t="n">
        <x:f>IF(OR(F167="",G167=""),"",ABS(F167-G167))</x:f>
        <x:v>1</x:v>
      </x:c>
      <x:c r="K167" s="23" t="str">
        <x:v>shared_mechanism_double_counting</x:v>
      </x:c>
    </x:row>
    <x:row r="168">
      <x:c r="A168" s="23" t="str">
        <x:v>9f8da740-87b6-45e0-ab86-d77d63f2e22b</x:v>
      </x:c>
      <x:c r="B168" s="23" t="str">
        <x:v>Bond+ Reparatur Spülung</x:v>
      </x:c>
      <x:c r="C168" s="23" t="str">
        <x:v>surface_lubrication_softness_potential</x:v>
      </x:c>
      <x:c r="D168" s="23" t="str">
        <x:v>moderate</x:v>
      </x:c>
      <x:c r="E168" s="23" t="str">
        <x:v>higher</x:v>
      </x:c>
      <x:c r="F168" s="23" t="n">
        <x:v>2</x:v>
      </x:c>
      <x:c r="G168" s="23" t="n">
        <x:v>3</x:v>
      </x:c>
      <x:c r="H168" s="23" t="n">
        <x:f>IF(D168=E168,1,0)</x:f>
        <x:v>0</x:v>
      </x:c>
      <x:c r="I168" s="23" t="n">
        <x:f>IF(OR(F168="",G168=""),"",IF(ABS(F168-G168)&lt;=1,1,0))</x:f>
        <x:v>1</x:v>
      </x:c>
      <x:c r="J168" s="23" t="n">
        <x:f>IF(OR(F168="",G168=""),"",ABS(F168-G168))</x:f>
        <x:v>1</x:v>
      </x:c>
      <x:c r="K168" s="23" t="str">
        <x:v>shared_mechanism_double_counting</x:v>
      </x:c>
    </x:row>
    <x:row r="169">
      <x:c r="A169" s="23" t="str">
        <x:v>9f8da740-87b6-45e0-ab86-d77d63f2e22b</x:v>
      </x:c>
      <x:c r="B169" s="23" t="str">
        <x:v>Bond+ Reparatur Spülung</x:v>
      </x:c>
      <x:c r="C169" s="23" t="str">
        <x:v>smoothing_frizz_control_potential</x:v>
      </x:c>
      <x:c r="D169" s="23" t="str">
        <x:v>moderate</x:v>
      </x:c>
      <x:c r="E169" s="23" t="str">
        <x:v>higher</x:v>
      </x:c>
      <x:c r="F169" s="23" t="n">
        <x:v>2</x:v>
      </x:c>
      <x:c r="G169" s="23" t="n">
        <x:v>3</x:v>
      </x:c>
      <x:c r="H169" s="23" t="n">
        <x:f>IF(D169=E169,1,0)</x:f>
        <x:v>0</x:v>
      </x:c>
      <x:c r="I169" s="23" t="n">
        <x:f>IF(OR(F169="",G169=""),"",IF(ABS(F169-G169)&lt;=1,1,0))</x:f>
        <x:v>1</x:v>
      </x:c>
      <x:c r="J169" s="23" t="n">
        <x:f>IF(OR(F169="",G169=""),"",ABS(F169-G169))</x:f>
        <x:v>1</x:v>
      </x:c>
      <x:c r="K169" s="23" t="str">
        <x:v>shared_mechanism_double_counting</x:v>
      </x:c>
    </x:row>
    <x:row r="170">
      <x:c r="A170" s="23" t="str">
        <x:v>9f8da740-87b6-45e0-ab86-d77d63f2e22b</x:v>
      </x:c>
      <x:c r="B170" s="23" t="str">
        <x:v>Bond+ Reparatur Spülung</x:v>
      </x:c>
      <x:c r="C170" s="23" t="str">
        <x:v>shine_potential</x:v>
      </x:c>
      <x:c r="D170" s="23" t="str">
        <x:v>moderate</x:v>
      </x:c>
      <x:c r="E170" s="23" t="str">
        <x:v>moderate</x:v>
      </x:c>
      <x:c r="F170" s="23" t="n">
        <x:v>2</x:v>
      </x:c>
      <x:c r="G170" s="23" t="n">
        <x:v>2</x:v>
      </x:c>
      <x:c r="H170" s="23" t="n">
        <x:f>IF(D170=E170,1,0)</x:f>
        <x:v>1</x:v>
      </x:c>
      <x:c r="I170" s="23" t="n">
        <x:f>IF(OR(F170="",G170=""),"",IF(ABS(F170-G170)&lt;=1,1,0))</x:f>
        <x:v>1</x:v>
      </x:c>
      <x:c r="J170" s="23" t="n">
        <x:f>IF(OR(F170="",G170=""),"",ABS(F170-G170))</x:f>
        <x:v>0</x:v>
      </x:c>
      <x:c r="K170" s="23" t="str">
        <x:v>exact</x:v>
      </x:c>
    </x:row>
    <x:row r="171">
      <x:c r="A171" s="23" t="str">
        <x:v>9f8da740-87b6-45e0-ab86-d77d63f2e22b</x:v>
      </x:c>
      <x:c r="B171" s="23" t="str">
        <x:v>Bond+ Reparatur Spülung</x:v>
      </x:c>
      <x:c r="C171" s="23" t="str">
        <x:v>weight_deposition_potential</x:v>
      </x:c>
      <x:c r="D171" s="23" t="str">
        <x:v>moderate</x:v>
      </x:c>
      <x:c r="E171" s="23" t="str">
        <x:v>higher</x:v>
      </x:c>
      <x:c r="F171" s="23" t="n">
        <x:v>2</x:v>
      </x:c>
      <x:c r="G171" s="23" t="n">
        <x:v>3</x:v>
      </x:c>
      <x:c r="H171" s="23" t="n">
        <x:f>IF(D171=E171,1,0)</x:f>
        <x:v>0</x:v>
      </x:c>
      <x:c r="I171" s="23" t="n">
        <x:f>IF(OR(F171="",G171=""),"",IF(ABS(F171-G171)&lt;=1,1,0))</x:f>
        <x:v>1</x:v>
      </x:c>
      <x:c r="J171" s="23" t="n">
        <x:f>IF(OR(F171="",G171=""),"",ABS(F171-G171))</x:f>
        <x:v>1</x:v>
      </x:c>
      <x:c r="K171" s="23" t="str">
        <x:v>shared_mechanism_double_counting</x:v>
      </x:c>
    </x:row>
    <x:row r="172">
      <x:c r="A172" s="23" t="str">
        <x:v>9f8da740-87b6-45e0-ab86-d77d63f2e22b</x:v>
      </x:c>
      <x:c r="B172" s="23" t="str">
        <x:v>Bond+ Reparatur Spülung</x:v>
      </x:c>
      <x:c r="C172" s="23" t="str">
        <x:v>rinse_behavior</x:v>
      </x:c>
      <x:c r="D172" s="23" t="str">
        <x:v>unknown</x:v>
      </x:c>
      <x:c r="E172" s="23" t="str">
        <x:v>unknown</x:v>
      </x:c>
      <x:c r="F172" s="23" t="str"/>
      <x:c r="G172" s="23" t="str"/>
      <x:c r="H172" s="23" t="n">
        <x:f>IF(D172=E172,1,0)</x:f>
        <x:v>1</x:v>
      </x:c>
      <x:c r="I172" s="23" t="str">
        <x:f>IF(OR(F172="",G172=""),"",IF(ABS(F172-G172)&lt;=1,1,0))</x:f>
      </x:c>
      <x:c r="J172" s="23" t="str">
        <x:f>IF(OR(F172="",G172=""),"",ABS(F172-G172))</x:f>
      </x:c>
      <x:c r="K172" s="23" t="str">
        <x:v>exact</x:v>
      </x:c>
    </x:row>
    <x:row r="173">
      <x:c r="A173" s="23" t="str">
        <x:v>9f8da740-87b6-45e0-ab86-d77d63f2e22b</x:v>
      </x:c>
      <x:c r="B173" s="23" t="str">
        <x:v>Bond+ Reparatur Spülung</x:v>
      </x:c>
      <x:c r="C173" s="23" t="str">
        <x:v>cumulative_residue_risk</x:v>
      </x:c>
      <x:c r="D173" s="23" t="str">
        <x:v>indeterminate</x:v>
      </x:c>
      <x:c r="E173" s="23" t="str">
        <x:v>indeterminate</x:v>
      </x:c>
      <x:c r="F173" s="23" t="str"/>
      <x:c r="G173" s="23" t="str"/>
      <x:c r="H173" s="23" t="n">
        <x:f>IF(D173=E173,1,0)</x:f>
        <x:v>1</x:v>
      </x:c>
      <x:c r="I173" s="23" t="str">
        <x:f>IF(OR(F173="",G173=""),"",IF(ABS(F173-G173)&lt;=1,1,0))</x:f>
      </x:c>
      <x:c r="J173" s="23" t="str">
        <x:f>IF(OR(F173="",G173=""),"",ABS(F173-G173))</x:f>
      </x:c>
      <x:c r="K173" s="23" t="str">
        <x:v>exact</x:v>
      </x:c>
    </x:row>
    <x:row r="174">
      <x:c r="A174" s="23" t="str">
        <x:v>9f8da740-87b6-45e0-ab86-d77d63f2e22b</x:v>
      </x:c>
      <x:c r="B174" s="23" t="str">
        <x:v>Bond+ Reparatur Spülung</x:v>
      </x:c>
      <x:c r="C174" s="23" t="str">
        <x:v>body_lightness_potential</x:v>
      </x:c>
      <x:c r="D174" s="23" t="str">
        <x:v>balanced</x:v>
      </x:c>
      <x:c r="E174" s="23" t="str">
        <x:v>likely_depositing</x:v>
      </x:c>
      <x:c r="F174" s="23" t="n">
        <x:v>2</x:v>
      </x:c>
      <x:c r="G174" s="23" t="n">
        <x:v>3</x:v>
      </x:c>
      <x:c r="H174" s="23" t="n">
        <x:f>IF(D174=E174,1,0)</x:f>
        <x:v>0</x:v>
      </x:c>
      <x:c r="I174" s="23" t="n">
        <x:f>IF(OR(F174="",G174=""),"",IF(ABS(F174-G174)&lt;=1,1,0))</x:f>
        <x:v>1</x:v>
      </x:c>
      <x:c r="J174" s="23" t="n">
        <x:f>IF(OR(F174="",G174=""),"",ABS(F174-G174))</x:f>
        <x:v>1</x:v>
      </x:c>
      <x:c r="K174" s="23" t="str">
        <x:v>shared_mechanism_double_counting</x:v>
      </x:c>
    </x:row>
    <x:row r="175">
      <x:c r="A175" s="23" t="str">
        <x:v>9f8da740-87b6-45e0-ab86-d77d63f2e22b</x:v>
      </x:c>
      <x:c r="B175" s="23" t="str">
        <x:v>Bond+ Reparatur Spülung</x:v>
      </x:c>
      <x:c r="C175" s="23" t="str">
        <x:v>repair_lubrication_protection</x:v>
      </x:c>
      <x:c r="D175" s="23" t="str">
        <x:v>candidate</x:v>
      </x:c>
      <x:c r="E175" s="23" t="str">
        <x:v>candidate</x:v>
      </x:c>
      <x:c r="F175" s="23" t="n">
        <x:v>2</x:v>
      </x:c>
      <x:c r="G175" s="23" t="n">
        <x:v>2</x:v>
      </x:c>
      <x:c r="H175" s="23" t="n">
        <x:f>IF(D175=E175,1,0)</x:f>
        <x:v>1</x:v>
      </x:c>
      <x:c r="I175" s="23" t="n">
        <x:f>IF(OR(F175="",G175=""),"",IF(ABS(F175-G175)&lt;=1,1,0))</x:f>
        <x:v>1</x:v>
      </x:c>
      <x:c r="J175" s="23" t="n">
        <x:f>IF(OR(F175="",G175=""),"",ABS(F175-G175))</x:f>
        <x:v>0</x:v>
      </x:c>
      <x:c r="K175" s="23" t="str">
        <x:v>exact</x:v>
      </x:c>
    </x:row>
    <x:row r="176">
      <x:c r="A176" s="23" t="str">
        <x:v>9f8da740-87b6-45e0-ab86-d77d63f2e22b</x:v>
      </x:c>
      <x:c r="B176" s="23" t="str">
        <x:v>Bond+ Reparatur Spülung</x:v>
      </x:c>
      <x:c r="C176" s="23" t="str">
        <x:v>repair_surface_film</x:v>
      </x:c>
      <x:c r="D176" s="23" t="str">
        <x:v>none_visible</x:v>
      </x:c>
      <x:c r="E176" s="23" t="str">
        <x:v>candidate</x:v>
      </x:c>
      <x:c r="F176" s="23" t="n">
        <x:v>1</x:v>
      </x:c>
      <x:c r="G176" s="23" t="n">
        <x:v>2</x:v>
      </x:c>
      <x:c r="H176" s="23" t="n">
        <x:f>IF(D176=E176,1,0)</x:f>
        <x:v>0</x:v>
      </x:c>
      <x:c r="I176" s="23" t="n">
        <x:f>IF(OR(F176="",G176=""),"",IF(ABS(F176-G176)&lt;=1,1,0))</x:f>
        <x:v>1</x:v>
      </x:c>
      <x:c r="J176" s="23" t="n">
        <x:f>IF(OR(F176="",G176=""),"",ABS(F176-G176))</x:f>
        <x:v>1</x:v>
      </x:c>
      <x:c r="K176" s="23" t="str">
        <x:v>tail_signal_overextension</x:v>
      </x:c>
    </x:row>
    <x:row r="177">
      <x:c r="A177" s="23" t="str">
        <x:v>9f8da740-87b6-45e0-ab86-d77d63f2e22b</x:v>
      </x:c>
      <x:c r="B177" s="23" t="str">
        <x:v>Bond+ Reparatur Spülung</x:v>
      </x:c>
      <x:c r="C177" s="23" t="str">
        <x:v>bond_specific_support</x:v>
      </x:c>
      <x:c r="D177" s="23" t="str">
        <x:v>chemistry_candidate</x:v>
      </x:c>
      <x:c r="E177" s="23" t="str">
        <x:v>chemistry_candidate</x:v>
      </x:c>
      <x:c r="F177" s="23" t="n">
        <x:v>2</x:v>
      </x:c>
      <x:c r="G177" s="23" t="n">
        <x:v>2</x:v>
      </x:c>
      <x:c r="H177" s="23" t="n">
        <x:f>IF(D177=E177,1,0)</x:f>
        <x:v>1</x:v>
      </x:c>
      <x:c r="I177" s="23" t="n">
        <x:f>IF(OR(F177="",G177=""),"",IF(ABS(F177-G177)&lt;=1,1,0))</x:f>
        <x:v>1</x:v>
      </x:c>
      <x:c r="J177" s="23" t="n">
        <x:f>IF(OR(F177="",G177=""),"",ABS(F177-G177))</x:f>
        <x:v>0</x:v>
      </x:c>
      <x:c r="K177" s="23" t="str">
        <x:v>exact</x:v>
      </x:c>
    </x:row>
    <x:row r="178">
      <x:c r="A178" s="23" t="str">
        <x:v>9f8da740-87b6-45e0-ab86-d77d63f2e22b</x:v>
      </x:c>
      <x:c r="B178" s="23" t="str">
        <x:v>Bond+ Reparatur Spülung</x:v>
      </x:c>
      <x:c r="C178" s="23" t="str">
        <x:v>color_chemical_damage_protection</x:v>
      </x:c>
      <x:c r="D178" s="23" t="str">
        <x:v>general_conditioning</x:v>
      </x:c>
      <x:c r="E178" s="23" t="str">
        <x:v>general_conditioning</x:v>
      </x:c>
      <x:c r="F178" s="23" t="n">
        <x:v>1</x:v>
      </x:c>
      <x:c r="G178" s="23" t="n">
        <x:v>1</x:v>
      </x:c>
      <x:c r="H178" s="23" t="n">
        <x:f>IF(D178=E178,1,0)</x:f>
        <x:v>1</x:v>
      </x:c>
      <x:c r="I178" s="23" t="n">
        <x:f>IF(OR(F178="",G178=""),"",IF(ABS(F178-G178)&lt;=1,1,0))</x:f>
        <x:v>1</x:v>
      </x:c>
      <x:c r="J178" s="23" t="n">
        <x:f>IF(OR(F178="",G178=""),"",ABS(F178-G178))</x:f>
        <x:v>0</x:v>
      </x:c>
      <x:c r="K178" s="23" t="str">
        <x:v>exact</x:v>
      </x:c>
    </x:row>
    <x:row r="179">
      <x:c r="A179" s="23" t="str">
        <x:v>9f8da740-87b6-45e0-ab86-d77d63f2e22b</x:v>
      </x:c>
      <x:c r="B179" s="23" t="str">
        <x:v>Bond+ Reparatur Spülung</x:v>
      </x:c>
      <x:c r="C179" s="23" t="str">
        <x:v>fragrance_scalp_exposure</x:v>
      </x:c>
      <x:c r="D179" s="23" t="str">
        <x:v>fragrance_declared</x:v>
      </x:c>
      <x:c r="E179" s="23" t="str">
        <x:v>fragrance_declared</x:v>
      </x:c>
      <x:c r="F179" s="23" t="str"/>
      <x:c r="G179" s="23" t="str"/>
      <x:c r="H179" s="23" t="n">
        <x:f>IF(D179=E179,1,0)</x:f>
        <x:v>1</x:v>
      </x:c>
      <x:c r="I179" s="23" t="str">
        <x:f>IF(OR(F179="",G179=""),"",IF(ABS(F179-G179)&lt;=1,1,0))</x:f>
      </x:c>
      <x:c r="J179" s="23" t="str">
        <x:f>IF(OR(F179="",G179=""),"",ABS(F179-G179))</x:f>
      </x:c>
      <x:c r="K179" s="23" t="str">
        <x:v>exact</x:v>
      </x:c>
    </x:row>
    <x:row r="180">
      <x:c r="A180" s="24" t="str">
        <x:v>9f8da740-87b6-45e0-ab86-d77d63f2e22b</x:v>
      </x:c>
      <x:c r="B180" s="24" t="str">
        <x:v>Bond+ Reparatur Spülung</x:v>
      </x:c>
      <x:c r="C180" s="24" t="str">
        <x:v>usage_role</x:v>
      </x:c>
      <x:c r="D180" s="24" t="str">
        <x:v>unknown</x:v>
      </x:c>
      <x:c r="E180" s="24" t="str">
        <x:v>unknown</x:v>
      </x:c>
      <x:c r="F180" s="24" t="str"/>
      <x:c r="G180" s="24" t="str"/>
      <x:c r="H180" s="24" t="n">
        <x:f>IF(D180=E180,1,0)</x:f>
        <x:v>1</x:v>
      </x:c>
      <x:c r="I180" s="24" t="str">
        <x:f>IF(OR(F180="",G180=""),"",IF(ABS(F180-G180)&lt;=1,1,0))</x:f>
      </x:c>
      <x:c r="J180" s="24" t="str">
        <x:f>IF(OR(F180="",G180=""),"",ABS(F180-G180))</x:f>
      </x:c>
      <x:c r="K180" s="24" t="str">
        <x:v>exact</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10" hidden="0" customWidth="1"/>
    <x:col min="3" max="3" width="10" hidden="0" customWidth="1"/>
    <x:col min="4" max="4" width="14" hidden="0" customWidth="1"/>
    <x:col min="5" max="5" width="12" hidden="0" customWidth="1"/>
    <x:col min="6" max="6" width="12" hidden="0" customWidth="1"/>
    <x:col min="7" max="7" width="14" hidden="0" customWidth="1"/>
    <x:col min="8" max="8" width="12" hidden="0" customWidth="1"/>
    <x:col min="9" max="9" width="12" hidden="0" customWidth="1"/>
  </x:cols>
  <x:sheetData>
    <x:row r="1">
      <x:c r="A1" s="3" t="str">
        <x:v>Blind agreement dashboard</x:v>
      </x:c>
      <x:c r="B1" s="3"/>
      <x:c r="C1" s="3"/>
      <x:c r="D1" s="3"/>
      <x:c r="E1" s="3"/>
      <x:c r="F1" s="3"/>
      <x:c r="G1" s="3"/>
      <x:c r="H1" s="3"/>
      <x:c r="I1" s="3"/>
    </x:row>
    <x:row r="2">
      <x:c r="A2" s="6" t="str">
        <x:v>Exact and adjacent agreement are rule-consistency evidence. Material differences remain explained, not hidden.</x:v>
      </x:c>
      <x:c r="B2" s="6"/>
      <x:c r="C2" s="6"/>
      <x:c r="D2" s="6"/>
      <x:c r="E2" s="6"/>
      <x:c r="F2" s="6"/>
      <x:c r="G2" s="6"/>
      <x:c r="H2" s="6"/>
      <x:c r="I2" s="6"/>
    </x:row>
    <x:row r="4">
      <x:c r="A4" s="13" t="str">
        <x:v>property</x:v>
      </x:c>
      <x:c r="B4" s="55" t="str">
        <x:v>n</x:v>
      </x:c>
      <x:c r="C4" s="55" t="str">
        <x:v>exact</x:v>
      </x:c>
      <x:c r="D4" s="55" t="str">
        <x:v>exact %</x:v>
      </x:c>
      <x:c r="E4" s="55" t="str">
        <x:v>ordinal n</x:v>
      </x:c>
      <x:c r="F4" s="55" t="str">
        <x:v>adjacent</x:v>
      </x:c>
      <x:c r="G4" s="55" t="str">
        <x:v>adjacent %</x:v>
      </x:c>
      <x:c r="H4" s="55" t="str">
        <x:v>MAE</x:v>
      </x:c>
      <x:c r="I4" s="14" t="str">
        <x:v>max diff</x:v>
      </x:c>
    </x:row>
    <x:row r="5">
      <x:c r="A5" s="22" t="str">
        <x:v>conditioning_deposition_potential</x:v>
      </x:c>
      <x:c r="B5" s="22" t="n">
        <x:f>COUNTIF('Comparison'!$C$5:$C$180,A5)</x:f>
        <x:v>11</x:v>
      </x:c>
      <x:c r="C5" s="22" t="n">
        <x:f>SUMIF('Comparison'!$C$5:$C$180,A5,'Comparison'!$H$5:$H$180)</x:f>
        <x:v>10</x:v>
      </x:c>
      <x:c r="D5" s="56" t="n">
        <x:f>IF(B5=0,0,C5/B5)</x:f>
        <x:v>0.9090909090909091</x:v>
      </x:c>
      <x:c r="E5" s="22" t="n">
        <x:f>COUNTIFS('Comparison'!$C$5:$C$180,A5,'Comparison'!$F$5:$F$180,"&gt;0",'Comparison'!$G$5:$G$180,"&gt;0")</x:f>
        <x:v>11</x:v>
      </x:c>
      <x:c r="F5" s="22" t="n">
        <x:f>SUMIF('Comparison'!$C$5:$C$180,A5,'Comparison'!$I$5:$I$180)</x:f>
        <x:v>11</x:v>
      </x:c>
      <x:c r="G5" s="56" t="n">
        <x:f>IF(E5=0,"",F5/E5)</x:f>
        <x:v>1</x:v>
      </x:c>
      <x:c r="H5" s="59" t="n">
        <x:f>IF(E5=0,"",SUMIF('Comparison'!$C$5:$C$180,A5,'Comparison'!$J$5:$J$180)/E5)</x:f>
        <x:v>0.09090909090909091</x:v>
      </x:c>
      <x:c r="I5" s="22" t="n">
        <x:v>1</x:v>
      </x:c>
    </x:row>
    <x:row r="6">
      <x:c r="A6" s="23" t="str">
        <x:v>wet_slip_detangling_potential</x:v>
      </x:c>
      <x:c r="B6" s="23" t="n">
        <x:f>COUNTIF('Comparison'!$C$5:$C$180,A6)</x:f>
        <x:v>11</x:v>
      </x:c>
      <x:c r="C6" s="23" t="n">
        <x:f>SUMIF('Comparison'!$C$5:$C$180,A6,'Comparison'!$H$5:$H$180)</x:f>
        <x:v>10</x:v>
      </x:c>
      <x:c r="D6" s="57" t="n">
        <x:f>IF(B6=0,0,C6/B6)</x:f>
        <x:v>0.9090909090909091</x:v>
      </x:c>
      <x:c r="E6" s="23" t="n">
        <x:f>COUNTIFS('Comparison'!$C$5:$C$180,A6,'Comparison'!$F$5:$F$180,"&gt;0",'Comparison'!$G$5:$G$180,"&gt;0")</x:f>
        <x:v>11</x:v>
      </x:c>
      <x:c r="F6" s="23" t="n">
        <x:f>SUMIF('Comparison'!$C$5:$C$180,A6,'Comparison'!$I$5:$I$180)</x:f>
        <x:v>11</x:v>
      </x:c>
      <x:c r="G6" s="57" t="n">
        <x:f>IF(E6=0,"",F6/E6)</x:f>
        <x:v>1</x:v>
      </x:c>
      <x:c r="H6" s="60" t="n">
        <x:f>IF(E6=0,"",SUMIF('Comparison'!$C$5:$C$180,A6,'Comparison'!$J$5:$J$180)/E6)</x:f>
        <x:v>0.09090909090909091</x:v>
      </x:c>
      <x:c r="I6" s="23" t="n">
        <x:v>1</x:v>
      </x:c>
    </x:row>
    <x:row r="7">
      <x:c r="A7" s="23" t="str">
        <x:v>dry_combability_potential</x:v>
      </x:c>
      <x:c r="B7" s="23" t="n">
        <x:f>COUNTIF('Comparison'!$C$5:$C$180,A7)</x:f>
        <x:v>11</x:v>
      </x:c>
      <x:c r="C7" s="23" t="n">
        <x:f>SUMIF('Comparison'!$C$5:$C$180,A7,'Comparison'!$H$5:$H$180)</x:f>
        <x:v>10</x:v>
      </x:c>
      <x:c r="D7" s="57" t="n">
        <x:f>IF(B7=0,0,C7/B7)</x:f>
        <x:v>0.9090909090909091</x:v>
      </x:c>
      <x:c r="E7" s="23" t="n">
        <x:f>COUNTIFS('Comparison'!$C$5:$C$180,A7,'Comparison'!$F$5:$F$180,"&gt;0",'Comparison'!$G$5:$G$180,"&gt;0")</x:f>
        <x:v>11</x:v>
      </x:c>
      <x:c r="F7" s="23" t="n">
        <x:f>SUMIF('Comparison'!$C$5:$C$180,A7,'Comparison'!$I$5:$I$180)</x:f>
        <x:v>11</x:v>
      </x:c>
      <x:c r="G7" s="57" t="n">
        <x:f>IF(E7=0,"",F7/E7)</x:f>
        <x:v>1</x:v>
      </x:c>
      <x:c r="H7" s="60" t="n">
        <x:f>IF(E7=0,"",SUMIF('Comparison'!$C$5:$C$180,A7,'Comparison'!$J$5:$J$180)/E7)</x:f>
        <x:v>0.09090909090909091</x:v>
      </x:c>
      <x:c r="I7" s="23" t="n">
        <x:v>1</x:v>
      </x:c>
    </x:row>
    <x:row r="8">
      <x:c r="A8" s="23" t="str">
        <x:v>surface_lubrication_softness_potential</x:v>
      </x:c>
      <x:c r="B8" s="23" t="n">
        <x:f>COUNTIF('Comparison'!$C$5:$C$180,A8)</x:f>
        <x:v>11</x:v>
      </x:c>
      <x:c r="C8" s="23" t="n">
        <x:f>SUMIF('Comparison'!$C$5:$C$180,A8,'Comparison'!$H$5:$H$180)</x:f>
        <x:v>8</x:v>
      </x:c>
      <x:c r="D8" s="57" t="n">
        <x:f>IF(B8=0,0,C8/B8)</x:f>
        <x:v>0.7272727272727273</x:v>
      </x:c>
      <x:c r="E8" s="23" t="n">
        <x:f>COUNTIFS('Comparison'!$C$5:$C$180,A8,'Comparison'!$F$5:$F$180,"&gt;0",'Comparison'!$G$5:$G$180,"&gt;0")</x:f>
        <x:v>11</x:v>
      </x:c>
      <x:c r="F8" s="23" t="n">
        <x:f>SUMIF('Comparison'!$C$5:$C$180,A8,'Comparison'!$I$5:$I$180)</x:f>
        <x:v>11</x:v>
      </x:c>
      <x:c r="G8" s="57" t="n">
        <x:f>IF(E8=0,"",F8/E8)</x:f>
        <x:v>1</x:v>
      </x:c>
      <x:c r="H8" s="60" t="n">
        <x:f>IF(E8=0,"",SUMIF('Comparison'!$C$5:$C$180,A8,'Comparison'!$J$5:$J$180)/E8)</x:f>
        <x:v>0.2727272727272727</x:v>
      </x:c>
      <x:c r="I8" s="23" t="n">
        <x:v>1</x:v>
      </x:c>
    </x:row>
    <x:row r="9">
      <x:c r="A9" s="23" t="str">
        <x:v>smoothing_frizz_control_potential</x:v>
      </x:c>
      <x:c r="B9" s="23" t="n">
        <x:f>COUNTIF('Comparison'!$C$5:$C$180,A9)</x:f>
        <x:v>11</x:v>
      </x:c>
      <x:c r="C9" s="23" t="n">
        <x:f>SUMIF('Comparison'!$C$5:$C$180,A9,'Comparison'!$H$5:$H$180)</x:f>
        <x:v>9</x:v>
      </x:c>
      <x:c r="D9" s="57" t="n">
        <x:f>IF(B9=0,0,C9/B9)</x:f>
        <x:v>0.8181818181818182</x:v>
      </x:c>
      <x:c r="E9" s="23" t="n">
        <x:f>COUNTIFS('Comparison'!$C$5:$C$180,A9,'Comparison'!$F$5:$F$180,"&gt;0",'Comparison'!$G$5:$G$180,"&gt;0")</x:f>
        <x:v>11</x:v>
      </x:c>
      <x:c r="F9" s="23" t="n">
        <x:f>SUMIF('Comparison'!$C$5:$C$180,A9,'Comparison'!$I$5:$I$180)</x:f>
        <x:v>11</x:v>
      </x:c>
      <x:c r="G9" s="57" t="n">
        <x:f>IF(E9=0,"",F9/E9)</x:f>
        <x:v>1</x:v>
      </x:c>
      <x:c r="H9" s="60" t="n">
        <x:f>IF(E9=0,"",SUMIF('Comparison'!$C$5:$C$180,A9,'Comparison'!$J$5:$J$180)/E9)</x:f>
        <x:v>0.18181818181818182</x:v>
      </x:c>
      <x:c r="I9" s="23" t="n">
        <x:v>1</x:v>
      </x:c>
    </x:row>
    <x:row r="10">
      <x:c r="A10" s="23" t="str">
        <x:v>shine_potential</x:v>
      </x:c>
      <x:c r="B10" s="23" t="n">
        <x:f>COUNTIF('Comparison'!$C$5:$C$180,A10)</x:f>
        <x:v>11</x:v>
      </x:c>
      <x:c r="C10" s="23" t="n">
        <x:f>SUMIF('Comparison'!$C$5:$C$180,A10,'Comparison'!$H$5:$H$180)</x:f>
        <x:v>9</x:v>
      </x:c>
      <x:c r="D10" s="57" t="n">
        <x:f>IF(B10=0,0,C10/B10)</x:f>
        <x:v>0.8181818181818182</x:v>
      </x:c>
      <x:c r="E10" s="23" t="n">
        <x:f>COUNTIFS('Comparison'!$C$5:$C$180,A10,'Comparison'!$F$5:$F$180,"&gt;0",'Comparison'!$G$5:$G$180,"&gt;0")</x:f>
        <x:v>11</x:v>
      </x:c>
      <x:c r="F10" s="23" t="n">
        <x:f>SUMIF('Comparison'!$C$5:$C$180,A10,'Comparison'!$I$5:$I$180)</x:f>
        <x:v>11</x:v>
      </x:c>
      <x:c r="G10" s="57" t="n">
        <x:f>IF(E10=0,"",F10/E10)</x:f>
        <x:v>1</x:v>
      </x:c>
      <x:c r="H10" s="60" t="n">
        <x:f>IF(E10=0,"",SUMIF('Comparison'!$C$5:$C$180,A10,'Comparison'!$J$5:$J$180)/E10)</x:f>
        <x:v>0.18181818181818182</x:v>
      </x:c>
      <x:c r="I10" s="23" t="n">
        <x:v>1</x:v>
      </x:c>
    </x:row>
    <x:row r="11">
      <x:c r="A11" s="23" t="str">
        <x:v>weight_deposition_potential</x:v>
      </x:c>
      <x:c r="B11" s="23" t="n">
        <x:f>COUNTIF('Comparison'!$C$5:$C$180,A11)</x:f>
        <x:v>11</x:v>
      </x:c>
      <x:c r="C11" s="23" t="n">
        <x:f>SUMIF('Comparison'!$C$5:$C$180,A11,'Comparison'!$H$5:$H$180)</x:f>
        <x:v>9</x:v>
      </x:c>
      <x:c r="D11" s="57" t="n">
        <x:f>IF(B11=0,0,C11/B11)</x:f>
        <x:v>0.8181818181818182</x:v>
      </x:c>
      <x:c r="E11" s="23" t="n">
        <x:f>COUNTIFS('Comparison'!$C$5:$C$180,A11,'Comparison'!$F$5:$F$180,"&gt;0",'Comparison'!$G$5:$G$180,"&gt;0")</x:f>
        <x:v>11</x:v>
      </x:c>
      <x:c r="F11" s="23" t="n">
        <x:f>SUMIF('Comparison'!$C$5:$C$180,A11,'Comparison'!$I$5:$I$180)</x:f>
        <x:v>11</x:v>
      </x:c>
      <x:c r="G11" s="57" t="n">
        <x:f>IF(E11=0,"",F11/E11)</x:f>
        <x:v>1</x:v>
      </x:c>
      <x:c r="H11" s="60" t="n">
        <x:f>IF(E11=0,"",SUMIF('Comparison'!$C$5:$C$180,A11,'Comparison'!$J$5:$J$180)/E11)</x:f>
        <x:v>0.18181818181818182</x:v>
      </x:c>
      <x:c r="I11" s="23" t="n">
        <x:v>1</x:v>
      </x:c>
    </x:row>
    <x:row r="12">
      <x:c r="A12" s="23" t="str">
        <x:v>rinse_behavior</x:v>
      </x:c>
      <x:c r="B12" s="23" t="n">
        <x:f>COUNTIF('Comparison'!$C$5:$C$180,A12)</x:f>
        <x:v>11</x:v>
      </x:c>
      <x:c r="C12" s="23" t="n">
        <x:f>SUMIF('Comparison'!$C$5:$C$180,A12,'Comparison'!$H$5:$H$180)</x:f>
        <x:v>11</x:v>
      </x:c>
      <x:c r="D12" s="57" t="n">
        <x:f>IF(B12=0,0,C12/B12)</x:f>
        <x:v>1</x:v>
      </x:c>
      <x:c r="E12" s="23" t="n">
        <x:f>COUNTIFS('Comparison'!$C$5:$C$180,A12,'Comparison'!$F$5:$F$180,"&gt;0",'Comparison'!$G$5:$G$180,"&gt;0")</x:f>
        <x:v>0</x:v>
      </x:c>
      <x:c r="F12" s="23" t="n">
        <x:f>SUMIF('Comparison'!$C$5:$C$180,A12,'Comparison'!$I$5:$I$180)</x:f>
        <x:v>0</x:v>
      </x:c>
      <x:c r="G12" s="57" t="str">
        <x:f>IF(E12=0,"",F12/E12)</x:f>
      </x:c>
      <x:c r="H12" s="60" t="str">
        <x:f>IF(E12=0,"",SUMIF('Comparison'!$C$5:$C$180,A12,'Comparison'!$J$5:$J$180)/E12)</x:f>
      </x:c>
      <x:c r="I12" s="23" t="str"/>
    </x:row>
    <x:row r="13">
      <x:c r="A13" s="23" t="str">
        <x:v>cumulative_residue_risk</x:v>
      </x:c>
      <x:c r="B13" s="23" t="n">
        <x:f>COUNTIF('Comparison'!$C$5:$C$180,A13)</x:f>
        <x:v>11</x:v>
      </x:c>
      <x:c r="C13" s="23" t="n">
        <x:f>SUMIF('Comparison'!$C$5:$C$180,A13,'Comparison'!$H$5:$H$180)</x:f>
        <x:v>11</x:v>
      </x:c>
      <x:c r="D13" s="57" t="n">
        <x:f>IF(B13=0,0,C13/B13)</x:f>
        <x:v>1</x:v>
      </x:c>
      <x:c r="E13" s="23" t="n">
        <x:f>COUNTIFS('Comparison'!$C$5:$C$180,A13,'Comparison'!$F$5:$F$180,"&gt;0",'Comparison'!$G$5:$G$180,"&gt;0")</x:f>
        <x:v>0</x:v>
      </x:c>
      <x:c r="F13" s="23" t="n">
        <x:f>SUMIF('Comparison'!$C$5:$C$180,A13,'Comparison'!$I$5:$I$180)</x:f>
        <x:v>0</x:v>
      </x:c>
      <x:c r="G13" s="57" t="str">
        <x:f>IF(E13=0,"",F13/E13)</x:f>
      </x:c>
      <x:c r="H13" s="60" t="str">
        <x:f>IF(E13=0,"",SUMIF('Comparison'!$C$5:$C$180,A13,'Comparison'!$J$5:$J$180)/E13)</x:f>
      </x:c>
      <x:c r="I13" s="23" t="str"/>
    </x:row>
    <x:row r="14">
      <x:c r="A14" s="23" t="str">
        <x:v>body_lightness_potential</x:v>
      </x:c>
      <x:c r="B14" s="23" t="n">
        <x:f>COUNTIF('Comparison'!$C$5:$C$180,A14)</x:f>
        <x:v>11</x:v>
      </x:c>
      <x:c r="C14" s="23" t="n">
        <x:f>SUMIF('Comparison'!$C$5:$C$180,A14,'Comparison'!$H$5:$H$180)</x:f>
        <x:v>9</x:v>
      </x:c>
      <x:c r="D14" s="57" t="n">
        <x:f>IF(B14=0,0,C14/B14)</x:f>
        <x:v>0.8181818181818182</x:v>
      </x:c>
      <x:c r="E14" s="23" t="n">
        <x:f>COUNTIFS('Comparison'!$C$5:$C$180,A14,'Comparison'!$F$5:$F$180,"&gt;0",'Comparison'!$G$5:$G$180,"&gt;0")</x:f>
        <x:v>11</x:v>
      </x:c>
      <x:c r="F14" s="23" t="n">
        <x:f>SUMIF('Comparison'!$C$5:$C$180,A14,'Comparison'!$I$5:$I$180)</x:f>
        <x:v>11</x:v>
      </x:c>
      <x:c r="G14" s="57" t="n">
        <x:f>IF(E14=0,"",F14/E14)</x:f>
        <x:v>1</x:v>
      </x:c>
      <x:c r="H14" s="60" t="n">
        <x:f>IF(E14=0,"",SUMIF('Comparison'!$C$5:$C$180,A14,'Comparison'!$J$5:$J$180)/E14)</x:f>
        <x:v>0.18181818181818182</x:v>
      </x:c>
      <x:c r="I14" s="23" t="n">
        <x:v>1</x:v>
      </x:c>
    </x:row>
    <x:row r="15">
      <x:c r="A15" s="23" t="str">
        <x:v>repair_lubrication_protection</x:v>
      </x:c>
      <x:c r="B15" s="23" t="n">
        <x:f>COUNTIF('Comparison'!$C$5:$C$180,A15)</x:f>
        <x:v>11</x:v>
      </x:c>
      <x:c r="C15" s="23" t="n">
        <x:f>SUMIF('Comparison'!$C$5:$C$180,A15,'Comparison'!$H$5:$H$180)</x:f>
        <x:v>11</x:v>
      </x:c>
      <x:c r="D15" s="57" t="n">
        <x:f>IF(B15=0,0,C15/B15)</x:f>
        <x:v>1</x:v>
      </x:c>
      <x:c r="E15" s="23" t="n">
        <x:f>COUNTIFS('Comparison'!$C$5:$C$180,A15,'Comparison'!$F$5:$F$180,"&gt;0",'Comparison'!$G$5:$G$180,"&gt;0")</x:f>
        <x:v>11</x:v>
      </x:c>
      <x:c r="F15" s="23" t="n">
        <x:f>SUMIF('Comparison'!$C$5:$C$180,A15,'Comparison'!$I$5:$I$180)</x:f>
        <x:v>11</x:v>
      </x:c>
      <x:c r="G15" s="57" t="n">
        <x:f>IF(E15=0,"",F15/E15)</x:f>
        <x:v>1</x:v>
      </x:c>
      <x:c r="H15" s="60" t="n">
        <x:f>IF(E15=0,"",SUMIF('Comparison'!$C$5:$C$180,A15,'Comparison'!$J$5:$J$180)/E15)</x:f>
        <x:v>0</x:v>
      </x:c>
      <x:c r="I15" s="23" t="n">
        <x:v>0</x:v>
      </x:c>
    </x:row>
    <x:row r="16">
      <x:c r="A16" s="23" t="str">
        <x:v>repair_surface_film</x:v>
      </x:c>
      <x:c r="B16" s="23" t="n">
        <x:f>COUNTIF('Comparison'!$C$5:$C$180,A16)</x:f>
        <x:v>11</x:v>
      </x:c>
      <x:c r="C16" s="23" t="n">
        <x:f>SUMIF('Comparison'!$C$5:$C$180,A16,'Comparison'!$H$5:$H$180)</x:f>
        <x:v>8</x:v>
      </x:c>
      <x:c r="D16" s="57" t="n">
        <x:f>IF(B16=0,0,C16/B16)</x:f>
        <x:v>0.7272727272727273</x:v>
      </x:c>
      <x:c r="E16" s="23" t="n">
        <x:f>COUNTIFS('Comparison'!$C$5:$C$180,A16,'Comparison'!$F$5:$F$180,"&gt;0",'Comparison'!$G$5:$G$180,"&gt;0")</x:f>
        <x:v>11</x:v>
      </x:c>
      <x:c r="F16" s="23" t="n">
        <x:f>SUMIF('Comparison'!$C$5:$C$180,A16,'Comparison'!$I$5:$I$180)</x:f>
        <x:v>11</x:v>
      </x:c>
      <x:c r="G16" s="57" t="n">
        <x:f>IF(E16=0,"",F16/E16)</x:f>
        <x:v>1</x:v>
      </x:c>
      <x:c r="H16" s="60" t="n">
        <x:f>IF(E16=0,"",SUMIF('Comparison'!$C$5:$C$180,A16,'Comparison'!$J$5:$J$180)/E16)</x:f>
        <x:v>0.2727272727272727</x:v>
      </x:c>
      <x:c r="I16" s="23" t="n">
        <x:v>1</x:v>
      </x:c>
    </x:row>
    <x:row r="17">
      <x:c r="A17" s="23" t="str">
        <x:v>bond_specific_support</x:v>
      </x:c>
      <x:c r="B17" s="23" t="n">
        <x:f>COUNTIF('Comparison'!$C$5:$C$180,A17)</x:f>
        <x:v>11</x:v>
      </x:c>
      <x:c r="C17" s="23" t="n">
        <x:f>SUMIF('Comparison'!$C$5:$C$180,A17,'Comparison'!$H$5:$H$180)</x:f>
        <x:v>9</x:v>
      </x:c>
      <x:c r="D17" s="57" t="n">
        <x:f>IF(B17=0,0,C17/B17)</x:f>
        <x:v>0.8181818181818182</x:v>
      </x:c>
      <x:c r="E17" s="23" t="n">
        <x:f>COUNTIFS('Comparison'!$C$5:$C$180,A17,'Comparison'!$F$5:$F$180,"&gt;0",'Comparison'!$G$5:$G$180,"&gt;0")</x:f>
        <x:v>1</x:v>
      </x:c>
      <x:c r="F17" s="23" t="n">
        <x:f>SUMIF('Comparison'!$C$5:$C$180,A17,'Comparison'!$I$5:$I$180)</x:f>
        <x:v>1</x:v>
      </x:c>
      <x:c r="G17" s="57" t="n">
        <x:f>IF(E17=0,"",F17/E17)</x:f>
        <x:v>1</x:v>
      </x:c>
      <x:c r="H17" s="60" t="n">
        <x:f>IF(E17=0,"",SUMIF('Comparison'!$C$5:$C$180,A17,'Comparison'!$J$5:$J$180)/E17)</x:f>
        <x:v>0</x:v>
      </x:c>
      <x:c r="I17" s="23" t="n">
        <x:v>0</x:v>
      </x:c>
    </x:row>
    <x:row r="18">
      <x:c r="A18" s="23" t="str">
        <x:v>color_chemical_damage_protection</x:v>
      </x:c>
      <x:c r="B18" s="23" t="n">
        <x:f>COUNTIF('Comparison'!$C$5:$C$180,A18)</x:f>
        <x:v>11</x:v>
      </x:c>
      <x:c r="C18" s="23" t="n">
        <x:f>SUMIF('Comparison'!$C$5:$C$180,A18,'Comparison'!$H$5:$H$180)</x:f>
        <x:v>11</x:v>
      </x:c>
      <x:c r="D18" s="57" t="n">
        <x:f>IF(B18=0,0,C18/B18)</x:f>
        <x:v>1</x:v>
      </x:c>
      <x:c r="E18" s="23" t="n">
        <x:f>COUNTIFS('Comparison'!$C$5:$C$180,A18,'Comparison'!$F$5:$F$180,"&gt;0",'Comparison'!$G$5:$G$180,"&gt;0")</x:f>
        <x:v>11</x:v>
      </x:c>
      <x:c r="F18" s="23" t="n">
        <x:f>SUMIF('Comparison'!$C$5:$C$180,A18,'Comparison'!$I$5:$I$180)</x:f>
        <x:v>11</x:v>
      </x:c>
      <x:c r="G18" s="57" t="n">
        <x:f>IF(E18=0,"",F18/E18)</x:f>
        <x:v>1</x:v>
      </x:c>
      <x:c r="H18" s="60" t="n">
        <x:f>IF(E18=0,"",SUMIF('Comparison'!$C$5:$C$180,A18,'Comparison'!$J$5:$J$180)/E18)</x:f>
        <x:v>0</x:v>
      </x:c>
      <x:c r="I18" s="23" t="n">
        <x:v>0</x:v>
      </x:c>
    </x:row>
    <x:row r="19">
      <x:c r="A19" s="23" t="str">
        <x:v>fragrance_scalp_exposure</x:v>
      </x:c>
      <x:c r="B19" s="23" t="n">
        <x:f>COUNTIF('Comparison'!$C$5:$C$180,A19)</x:f>
        <x:v>11</x:v>
      </x:c>
      <x:c r="C19" s="23" t="n">
        <x:f>SUMIF('Comparison'!$C$5:$C$180,A19,'Comparison'!$H$5:$H$180)</x:f>
        <x:v>11</x:v>
      </x:c>
      <x:c r="D19" s="57" t="n">
        <x:f>IF(B19=0,0,C19/B19)</x:f>
        <x:v>1</x:v>
      </x:c>
      <x:c r="E19" s="23" t="n">
        <x:f>COUNTIFS('Comparison'!$C$5:$C$180,A19,'Comparison'!$F$5:$F$180,"&gt;0",'Comparison'!$G$5:$G$180,"&gt;0")</x:f>
        <x:v>0</x:v>
      </x:c>
      <x:c r="F19" s="23" t="n">
        <x:f>SUMIF('Comparison'!$C$5:$C$180,A19,'Comparison'!$I$5:$I$180)</x:f>
        <x:v>0</x:v>
      </x:c>
      <x:c r="G19" s="57" t="str">
        <x:f>IF(E19=0,"",F19/E19)</x:f>
      </x:c>
      <x:c r="H19" s="60" t="str">
        <x:f>IF(E19=0,"",SUMIF('Comparison'!$C$5:$C$180,A19,'Comparison'!$J$5:$J$180)/E19)</x:f>
      </x:c>
      <x:c r="I19" s="23" t="str"/>
    </x:row>
    <x:row r="20">
      <x:c r="A20" s="24" t="str">
        <x:v>usage_role</x:v>
      </x:c>
      <x:c r="B20" s="24" t="n">
        <x:f>COUNTIF('Comparison'!$C$5:$C$180,A20)</x:f>
        <x:v>11</x:v>
      </x:c>
      <x:c r="C20" s="24" t="n">
        <x:f>SUMIF('Comparison'!$C$5:$C$180,A20,'Comparison'!$H$5:$H$180)</x:f>
        <x:v>11</x:v>
      </x:c>
      <x:c r="D20" s="58" t="n">
        <x:f>IF(B20=0,0,C20/B20)</x:f>
        <x:v>1</x:v>
      </x:c>
      <x:c r="E20" s="24" t="n">
        <x:f>COUNTIFS('Comparison'!$C$5:$C$180,A20,'Comparison'!$F$5:$F$180,"&gt;0",'Comparison'!$G$5:$G$180,"&gt;0")</x:f>
        <x:v>0</x:v>
      </x:c>
      <x:c r="F20" s="24" t="n">
        <x:f>SUMIF('Comparison'!$C$5:$C$180,A20,'Comparison'!$I$5:$I$180)</x:f>
        <x:v>0</x:v>
      </x:c>
      <x:c r="G20" s="58" t="str">
        <x:f>IF(E20=0,"",F20/E20)</x:f>
      </x:c>
      <x:c r="H20" s="61" t="str">
        <x:f>IF(E20=0,"",SUMIF('Comparison'!$C$5:$C$180,A20,'Comparison'!$J$5:$J$180)/E20)</x:f>
      </x:c>
      <x:c r="I20" s="24" t="str"/>
    </x:row>
    <x:row r="22">
      <x:c r="A22" s="65" t="str">
        <x:v>Overall: 89.2% exact; 100% adjacent across ordinal properties; 0 material disagreements; systemic rule change required: false.</x:v>
      </x:c>
      <x:c r="B22" s="65"/>
      <x:c r="C22" s="65"/>
      <x:c r="D22" s="65"/>
      <x:c r="E22" s="65"/>
      <x:c r="F22" s="65"/>
      <x:c r="G22" s="65"/>
      <x:c r="H22" s="65"/>
      <x:c r="I22" s="65"/>
    </x:row>
    <x:row r="23">
      <x:c r="A23" s="65"/>
      <x:c r="B23" s="65"/>
      <x:c r="C23" s="65"/>
      <x:c r="D23" s="65"/>
      <x:c r="E23" s="65"/>
      <x:c r="F23" s="65"/>
      <x:c r="G23" s="65"/>
      <x:c r="H23" s="65"/>
      <x:c r="I23" s="65"/>
    </x:row>
    <x:row r="24">
      <x:c r="A24" s="65"/>
      <x:c r="B24" s="65"/>
      <x:c r="C24" s="65"/>
      <x:c r="D24" s="65"/>
      <x:c r="E24" s="65"/>
      <x:c r="F24" s="65"/>
      <x:c r="G24" s="65"/>
      <x:c r="H24" s="65"/>
      <x:c r="I24" s="65"/>
    </x:row>
    <x:row r="25">
      <x:c r="A25" s="65"/>
      <x:c r="B25" s="65"/>
      <x:c r="C25" s="65"/>
      <x:c r="D25" s="65"/>
      <x:c r="E25" s="65"/>
      <x:c r="F25" s="65"/>
      <x:c r="G25" s="65"/>
      <x:c r="H25" s="65"/>
      <x:c r="I25" s="65"/>
    </x:row>
  </x:sheetData>
  <x:mergeCells>
    <x:mergeCell ref="A1:I1"/>
    <x:mergeCell ref="A2:I2"/>
    <x:mergeCell ref="A22:I2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8" hidden="0" customWidth="1"/>
    <x:col min="3" max="3" width="38" hidden="0" customWidth="1"/>
    <x:col min="4" max="4" width="64" hidden="0" customWidth="1"/>
    <x:col min="5" max="5" width="70" hidden="0" customWidth="1"/>
    <x:col min="6" max="6" width="70" hidden="0" customWidth="1"/>
    <x:col min="7" max="7" width="12" hidden="0" customWidth="1"/>
    <x:col min="8" max="8" width="62" hidden="0" customWidth="1"/>
  </x:cols>
  <x:sheetData>
    <x:row r="1">
      <x:c r="A1" s="3" t="str">
        <x:v>Adversarial stress tests</x:v>
      </x:c>
      <x:c r="B1" s="3"/>
      <x:c r="C1" s="3"/>
      <x:c r="D1" s="3"/>
      <x:c r="E1" s="3"/>
      <x:c r="F1" s="3"/>
      <x:c r="G1" s="3"/>
      <x:c r="H1" s="3"/>
    </x:row>
    <x:row r="2">
      <x:c r="A2" s="6" t="str">
        <x:v>Five cases attack branding, hero ingredients, product form and medical/routine claim leakage.</x:v>
      </x:c>
      <x:c r="B2" s="6"/>
      <x:c r="C2" s="6"/>
      <x:c r="D2" s="6"/>
      <x:c r="E2" s="6"/>
      <x:c r="F2" s="6"/>
      <x:c r="G2" s="6"/>
      <x:c r="H2" s="6"/>
    </x:row>
    <x:row r="4">
      <x:c r="A4" s="13" t="str">
        <x:v>case_id</x:v>
      </x:c>
      <x:c r="B4" s="55" t="str">
        <x:v>product_id</x:v>
      </x:c>
      <x:c r="C4" s="55" t="str">
        <x:v>product</x:v>
      </x:c>
      <x:c r="D4" s="55" t="str">
        <x:v>attack</x:v>
      </x:c>
      <x:c r="E4" s="55" t="str">
        <x:v>required behavior</x:v>
      </x:c>
      <x:c r="F4" s="55" t="str">
        <x:v>result</x:v>
      </x:c>
      <x:c r="G4" s="55" t="str">
        <x:v>verdict</x:v>
      </x:c>
      <x:c r="H4" s="14" t="str">
        <x:v>source_url</x:v>
      </x:c>
    </x:row>
    <x:row r="5">
      <x:c r="A5" s="22" t="str">
        <x:v>S1-light-brand-rich-architecture</x:v>
      </x:c>
      <x:c r="B5" s="22" t="str">
        <x:v>02113cc7-80c4-45a5-a56b-738ac96f4f02</x:v>
      </x:c>
      <x:c r="C5" s="22" t="str">
        <x:v>Gliss Gliss Kur Aqua Revive Conditioner</x:v>
      </x:c>
      <x:c r="D5" s="22" t="str">
        <x:v>Lightweight hydration branding may cause a name-to-lightness shortcut.</x:v>
      </x:c>
      <x:c r="E5" s="22" t="str">
        <x:v>Formula architecture overrides product naming; overlapping routes remain shared mechanisms, not independent proof.</x:v>
      </x:c>
      <x:c r="F5" s="22" t="str">
        <x:v>{"conditioning_deposition_potential":"higher","weight_deposition_potential":"higher","body_lightness_potential":"likely_depositing","rinse_behavior":"unknown","repair_surface_film":"candidate"}</x:v>
      </x:c>
      <x:c r="G5" s="22" t="str">
        <x:v>pass</x:v>
      </x:c>
      <x:c r="H5" s="22" t="str">
        <x:v>https://www.rossmann.de/de/pflege-und-duft-gliss-aqua-revive-spuelung/p/4015100812336</x:v>
      </x:c>
    </x:row>
    <x:row r="6">
      <x:c r="A6" s="23" t="str">
        <x:v>S2-hero-oil-product-form-boundary</x:v>
      </x:c>
      <x:c r="B6" s="23" t="str">
        <x:v>4c3e1a63-4696-406a-be67-f2aacc678b0c</x:v>
      </x:c>
      <x:c r="C6" s="23" t="str">
        <x:v>Garnier Garnier Hair Food Macadamia 3in1 Maske</x:v>
      </x:c>
      <x:c r="D6" s="23" t="str">
        <x:v>A rich oil architecture and conditioner use mode may tempt classification despite mask and leave-in directions.</x:v>
      </x:c>
      <x:c r="E6" s="23" t="str">
        <x:v>G0 blocks classification before hero-ingredient or formula scoring because the exact product is multi-use and includes leave-in/mask modes.</x:v>
      </x:c>
      <x:c r="F6" s="23" t="str">
        <x:v>{"boundary":"excluded_product_form","direct_properties":null}</x:v>
      </x:c>
      <x:c r="G6" s="23" t="str">
        <x:v>pass</x:v>
      </x:c>
      <x:c r="H6" s="23" t="str">
        <x:v>https://www.garnier.de/haarpflege/haarpflege-marken/fructis/hair-food/3in1-maske-fuer-trockenes-haar-angereichert-mit-macadamia</x:v>
      </x:c>
    </x:row>
    <x:row r="7">
      <x:c r="A7" s="23" t="str">
        <x:v>S3-bond-brand-product-form-boundary</x:v>
      </x:c>
      <x:c r="B7" s="23" t="str">
        <x:v>71d9bccb-74c7-499c-b5de-13ceef57ecde</x:v>
      </x:c>
      <x:c r="C7" s="23" t="str">
        <x:v>Pantene Pantene Pro-V Miracles Bond Repair Conditioner</x:v>
      </x:c>
      <x:c r="D7" s="23" t="str">
        <x:v>Bond branding and a conventional conditioning formula may hide authoritative rinse-out and leave-on directions.</x:v>
      </x:c>
      <x:c r="E7" s="23" t="str">
        <x:v>G0 blocks classification; bond wording cannot override exact product-form directions.</x:v>
      </x:c>
      <x:c r="F7" s="23" t="str">
        <x:v>{"boundary":"excluded_product_form","direct_properties":null}</x:v>
      </x:c>
      <x:c r="G7" s="23" t="str">
        <x:v>pass</x:v>
      </x:c>
      <x:c r="H7" s="23" t="str">
        <x:v>https://www.dm.de/p/d/1336165/pantene-pro-v-conditioner-miracles-bond-repair</x:v>
      </x:c>
    </x:row>
    <x:row r="8">
      <x:c r="A8" s="23" t="str">
        <x:v>S4-medical-routine-claim-leakage</x:v>
      </x:c>
      <x:c r="B8" s="23" t="str">
        <x:v>d0180955-c3a0-4f53-8744-fbeb2c241688</x:v>
      </x:c>
      <x:c r="C8" s="23" t="str">
        <x:v>L'Oréal Paris Elvital Fiber Booster Anti-Haarverlust Spülung</x:v>
      </x:c>
      <x:c r="D8" s="23" t="str">
        <x:v>Routine-level anti-hair-loss claims and named actives may leak into cosmetic Conditioner suitability or treatment conclusions.</x:v>
      </x:c>
      <x:c r="E8" s="23" t="str">
        <x:v>G6 quarantines hair-loss lifecycle, diagnosis and treatment conclusions; only cosmetic conditioning properties may classify.</x:v>
      </x:c>
      <x:c r="F8" s="23" t="str">
        <x:v>{"boundary":"eligible","conditioning_deposition_potential":"higher","repair_lubrication_protection":"candidate","hair_loss_treatment_suitability":"abstain","specialist_review":"claim_scope_required"}</x:v>
      </x:c>
      <x:c r="G8" s="23" t="str">
        <x:v>pass</x:v>
      </x:c>
      <x:c r="H8" s="23" t="str">
        <x:v>https://www.loreal-paris.de/elvital/fiber-booster/anti-haarverlust-spuelung</x:v>
      </x:c>
    </x:row>
    <x:row r="9">
      <x:c r="A9" s="24" t="str">
        <x:v>S5-hero-protein-structural-repair</x:v>
      </x:c>
      <x:c r="B9" s="24" t="str">
        <x:v>ed382d40-6166-4d39-be2d-eab5a24793a6</x:v>
      </x:c>
      <x:c r="C9" s="24" t="str">
        <x:v>Syoss Syoss Intense Keratin Conditioner</x:v>
      </x:c>
      <x:c r="D9" s="24" t="str">
        <x:v>Keratin naming and a high-position hydrolyzed protein may be overread as structural restoration or a separate repair technology.</x:v>
      </x:c>
      <x:c r="E9" s="24" t="str">
        <x:v>R5 supports only temporary film potential at E2; it is not cortex regeneration and cannot be double counted as an independent structural-repair result.</x:v>
      </x:c>
      <x:c r="F9" s="24" t="str">
        <x:v>{"conditioning_deposition_potential":"higher","repair_lubrication_protection":"candidate","repair_surface_film":"candidate","bond_specific_support":"unknown","structural_restoration":"not_supported"}</x:v>
      </x:c>
      <x:c r="G9" s="24" t="str">
        <x:v>pass</x:v>
      </x:c>
      <x:c r="H9" s="24" t="str">
        <x:v>https://www.dm.de/p/d/3047026/syoss-conditioner-intense-keratin</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 min="3" max="3" width="16" hidden="0" customWidth="1"/>
    <x:col min="4" max="4" width="20" hidden="0" customWidth="1"/>
    <x:col min="5" max="5" width="28" hidden="0" customWidth="1"/>
    <x:col min="6" max="6" width="16" hidden="0" customWidth="1"/>
    <x:col min="7" max="7" width="28" hidden="0" customWidth="1"/>
    <x:col min="8" max="8" width="32" hidden="0" customWidth="1"/>
    <x:col min="9" max="9" width="30" hidden="0" customWidth="1"/>
    <x:col min="10" max="10" width="24" hidden="0" customWidth="1"/>
    <x:col min="11" max="11" width="45" hidden="0" customWidth="1"/>
    <x:col min="12" max="12" width="86" hidden="0" customWidth="1"/>
  </x:cols>
  <x:sheetData>
    <x:row r="1">
      <x:c r="A1" s="3" t="str">
        <x:v>Accepted complete pilot profiles</x:v>
      </x:c>
      <x:c r="B1" s="3"/>
      <x:c r="C1" s="3"/>
      <x:c r="D1" s="3"/>
      <x:c r="E1" s="3"/>
      <x:c r="F1" s="3"/>
      <x:c r="G1" s="3"/>
      <x:c r="H1" s="3"/>
      <x:c r="I1" s="3"/>
      <x:c r="J1" s="3"/>
      <x:c r="K1" s="3"/>
      <x:c r="L1" s="3"/>
    </x:row>
    <x:row r="2">
      <x:c r="A2" s="6" t="str">
        <x:v>This is the practical review sheet: one complete answer per product, with only the fields worth inspecting called out.</x:v>
      </x:c>
      <x:c r="B2" s="6"/>
      <x:c r="C2" s="6"/>
      <x:c r="D2" s="6"/>
      <x:c r="E2" s="6"/>
      <x:c r="F2" s="6"/>
      <x:c r="G2" s="6"/>
      <x:c r="H2" s="6"/>
      <x:c r="I2" s="6"/>
      <x:c r="J2" s="6"/>
      <x:c r="K2" s="6"/>
      <x:c r="L2" s="6"/>
    </x:row>
    <x:row r="4">
      <x:c r="A4" s="13" t="str">
        <x:v>product</x:v>
      </x:c>
      <x:c r="B4" s="55" t="str">
        <x:v>conditioning_level</x:v>
      </x:c>
      <x:c r="C4" s="55" t="str">
        <x:v>weight_potential</x:v>
      </x:c>
      <x:c r="D4" s="55" t="str">
        <x:v>primary_focus</x:v>
      </x:c>
      <x:c r="E4" s="55" t="str">
        <x:v>secondary_focus</x:v>
      </x:c>
      <x:c r="F4" s="55" t="str">
        <x:v>usage_role</x:v>
      </x:c>
      <x:c r="G4" s="55" t="str">
        <x:v>hair_thickness_fit</x:v>
      </x:c>
      <x:c r="H4" s="55" t="str">
        <x:v>damage_fit</x:v>
      </x:c>
      <x:c r="I4" s="55" t="str">
        <x:v>texture_fit</x:v>
      </x:c>
      <x:c r="J4" s="55" t="str">
        <x:v>scalp_application_fit</x:v>
      </x:c>
      <x:c r="K4" s="55" t="str">
        <x:v>uncertain_fields</x:v>
      </x:c>
      <x:c r="L4" s="14" t="str">
        <x:v>assumption_notes</x:v>
      </x:c>
    </x:row>
    <x:row r="5">
      <x:c r="A5" s="22" t="str">
        <x:v>Balea Med Ultra Sensitive Conditioner</x:v>
      </x:c>
      <x:c r="B5" s="22" t="str">
        <x:v>high</x:v>
      </x:c>
      <x:c r="C5" s="22" t="str">
        <x:v>moderate</x:v>
      </x:c>
      <x:c r="D5" s="22" t="str">
        <x:v>detangling</x:v>
      </x:c>
      <x:c r="E5" s="22" t="str">
        <x:v>smoothing</x:v>
      </x:c>
      <x:c r="F5" s="22" t="str">
        <x:v>regular</x:v>
      </x:c>
      <x:c r="G5" s="22" t="str">
        <x:v>fine | medium | coarse</x:v>
      </x:c>
      <x:c r="H5" s="22" t="str">
        <x:v>moderately_damaged | highly_damaged</x:v>
      </x:c>
      <x:c r="I5" s="22" t="str">
        <x:v>straight | wavy | curly</x:v>
      </x:c>
      <x:c r="J5" s="22" t="str">
        <x:v>conditional</x:v>
      </x:c>
      <x:c r="K5" s="22" t="str"/>
      <x:c r="L5" s="22" t="str">
        <x:v>High conditioning is carried by the cationic/fatty-alcohol base and cationic guar; the profile treats this as a detangling-first routine conditioner. Whole-hair directions make scalp application conditional rather than suitable.</x:v>
      </x:c>
    </x:row>
    <x:row r="6">
      <x:c r="A6" s="23" t="str">
        <x:v>Balea Professional Aqua Hyaluron Conditioner</x:v>
      </x:c>
      <x:c r="B6" s="23" t="str">
        <x:v>moderate</x:v>
      </x:c>
      <x:c r="C6" s="23" t="str">
        <x:v>low</x:v>
      </x:c>
      <x:c r="D6" s="23" t="str">
        <x:v>lightness</x:v>
      </x:c>
      <x:c r="E6" s="23" t="str">
        <x:v>detangling</x:v>
      </x:c>
      <x:c r="F6" s="23" t="str">
        <x:v>regular</x:v>
      </x:c>
      <x:c r="G6" s="23" t="str">
        <x:v>fine | medium</x:v>
      </x:c>
      <x:c r="H6" s="23" t="str">
        <x:v>healthy | moderately_damaged</x:v>
      </x:c>
      <x:c r="I6" s="23" t="str">
        <x:v>straight | wavy</x:v>
      </x:c>
      <x:c r="J6" s="23" t="str">
        <x:v>conditional</x:v>
      </x:c>
      <x:c r="K6" s="23" t="str"/>
      <x:c r="L6" s="23" t="str">
        <x:v>Low weight plus likely-preserving body makes lightness the cleanest focus. Hyaluron/moisture wording is not treated as an independent performance route.</x:v>
      </x:c>
    </x:row>
    <x:row r="7">
      <x:c r="A7" s="23" t="str">
        <x:v>Hair Food Aloe Vera Feuchtigkeits-Spülung</x:v>
      </x:c>
      <x:c r="B7" s="23" t="str">
        <x:v>high</x:v>
      </x:c>
      <x:c r="C7" s="23" t="str">
        <x:v>high</x:v>
      </x:c>
      <x:c r="D7" s="23" t="str">
        <x:v>detangling</x:v>
      </x:c>
      <x:c r="E7" s="23" t="str">
        <x:v>smoothing | curl_support</x:v>
      </x:c>
      <x:c r="F7" s="23" t="str">
        <x:v>regular</x:v>
      </x:c>
      <x:c r="G7" s="23" t="str">
        <x:v>medium | coarse</x:v>
      </x:c>
      <x:c r="H7" s="23" t="str">
        <x:v>moderately_damaged | highly_damaged</x:v>
      </x:c>
      <x:c r="I7" s="23" t="str">
        <x:v>wavy | curly | coily</x:v>
      </x:c>
      <x:c r="J7" s="23" t="str">
        <x:v>avoid_roots</x:v>
      </x:c>
      <x:c r="K7" s="23" t="str">
        <x:v>primary_focus</x:v>
      </x:c>
      <x:c r="L7" s="23" t="str">
        <x:v>High wet-slip evidence makes detangling the most direct primary focus; the rich lipid architecture supports curl support only as a secondary prior. Lengths-and-ends directions keep root application out of the default.</x:v>
      </x:c>
    </x:row>
    <x:row r="8">
      <x:c r="A8" s="23" t="str">
        <x:v>Volume Victory Conditioner</x:v>
      </x:c>
      <x:c r="B8" s="23" t="str">
        <x:v>high</x:v>
      </x:c>
      <x:c r="C8" s="23" t="str">
        <x:v>high</x:v>
      </x:c>
      <x:c r="D8" s="23" t="str">
        <x:v>repair</x:v>
      </x:c>
      <x:c r="E8" s="23" t="str">
        <x:v>smoothing | shine</x:v>
      </x:c>
      <x:c r="F8" s="23" t="str">
        <x:v>regular</x:v>
      </x:c>
      <x:c r="G8" s="23" t="str">
        <x:v>medium | coarse</x:v>
      </x:c>
      <x:c r="H8" s="23" t="str">
        <x:v>moderately_damaged | highly_damaged</x:v>
      </x:c>
      <x:c r="I8" s="23" t="str">
        <x:v>wavy | curly | coily</x:v>
      </x:c>
      <x:c r="J8" s="23" t="str">
        <x:v>avoid_roots</x:v>
      </x:c>
      <x:c r="K8" s="23" t="str">
        <x:v>weight_potential</x:v>
      </x:c>
      <x:c r="L8" s="23" t="str">
        <x:v>Repair wins because the reviewed key has a distinct temporary film-support candidate, not because of general conditioning. The volume name conflicts with the deposition-rich architecture, so weight remains flagged despite the direct-property result.</x:v>
      </x:c>
    </x:row>
    <x:row r="9">
      <x:c r="A9" s="23" t="str">
        <x:v>Frizz Ease Wunder-Reparatur Conditioner</x:v>
      </x:c>
      <x:c r="B9" s="23" t="str">
        <x:v>high</x:v>
      </x:c>
      <x:c r="C9" s="23" t="str">
        <x:v>high</x:v>
      </x:c>
      <x:c r="D9" s="23" t="str">
        <x:v>smoothing</x:v>
      </x:c>
      <x:c r="E9" s="23" t="str">
        <x:v>detangling</x:v>
      </x:c>
      <x:c r="F9" s="23" t="str">
        <x:v>frequent</x:v>
      </x:c>
      <x:c r="G9" s="23" t="str">
        <x:v>medium | coarse</x:v>
      </x:c>
      <x:c r="H9" s="23" t="str">
        <x:v>moderately_damaged | highly_damaged</x:v>
      </x:c>
      <x:c r="I9" s="23" t="str">
        <x:v>wavy | curly | coily</x:v>
      </x:c>
      <x:c r="J9" s="23" t="str">
        <x:v>avoid_roots</x:v>
      </x:c>
      <x:c r="K9" s="23" t="str"/>
      <x:c r="L9" s="23" t="str">
        <x:v>Smoothing wins over repair because the reviewed key does not show a distinct bond, silicone, or protein repair-film route; the repair name is treated as claim context only. Directions explicitly support after-every-wash use.</x:v>
      </x:c>
    </x:row>
    <x:row r="10">
      <x:c r="A10" s="23" t="str">
        <x:v>Panthenol + Reparatur 2in1 Kur &amp; Spülung</x:v>
      </x:c>
      <x:c r="B10" s="23" t="str">
        <x:v>high</x:v>
      </x:c>
      <x:c r="C10" s="23" t="str">
        <x:v>moderate</x:v>
      </x:c>
      <x:c r="D10" s="23" t="str">
        <x:v>detangling</x:v>
      </x:c>
      <x:c r="E10" s="23" t="str">
        <x:v>smoothing</x:v>
      </x:c>
      <x:c r="F10" s="23" t="str">
        <x:v>regular</x:v>
      </x:c>
      <x:c r="G10" s="23" t="str">
        <x:v>fine | medium | coarse</x:v>
      </x:c>
      <x:c r="H10" s="23" t="str">
        <x:v>moderately_damaged | highly_damaged</x:v>
      </x:c>
      <x:c r="I10" s="23" t="str">
        <x:v>straight | wavy | curly</x:v>
      </x:c>
      <x:c r="J10" s="23" t="str">
        <x:v>conditional</x:v>
      </x:c>
      <x:c r="K10" s="23" t="str">
        <x:v>usage_role</x:v>
      </x:c>
      <x:c r="L10" s="23" t="str">
        <x:v>The 2-in-1 Kur/Spülung name raises an intensity question, but the reviewed directions remain conventional rinse-out, so the profile keeps regular usage. Repair wording is not upgraded to repair focus without a distinct repair-film or bond route.</x:v>
      </x:c>
    </x:row>
    <x:row r="11">
      <x:c r="A11" s="23" t="str">
        <x:v>Biotin &amp; Collagen Conditioner</x:v>
      </x:c>
      <x:c r="B11" s="23" t="str">
        <x:v>high</x:v>
      </x:c>
      <x:c r="C11" s="23" t="str">
        <x:v>high</x:v>
      </x:c>
      <x:c r="D11" s="23" t="str">
        <x:v>repair</x:v>
      </x:c>
      <x:c r="E11" s="23" t="str">
        <x:v>smoothing | shine</x:v>
      </x:c>
      <x:c r="F11" s="23" t="str">
        <x:v>regular</x:v>
      </x:c>
      <x:c r="G11" s="23" t="str">
        <x:v>medium | coarse</x:v>
      </x:c>
      <x:c r="H11" s="23" t="str">
        <x:v>moderately_damaged | highly_damaged</x:v>
      </x:c>
      <x:c r="I11" s="23" t="str">
        <x:v>wavy | curly | coily</x:v>
      </x:c>
      <x:c r="J11" s="23" t="str">
        <x:v>conditional</x:v>
      </x:c>
      <x:c r="K11" s="23" t="str"/>
      <x:c r="L11" s="23" t="str">
        <x:v>Repair is assigned from the silicone plus hydrolyzed-collagen temporary film route, not from biotin/collagen thickening claims. Whole-hair directions make scalp application conditional.</x:v>
      </x:c>
    </x:row>
    <x:row r="12">
      <x:c r="A12" s="23" t="str">
        <x:v>Conditioner Cream</x:v>
      </x:c>
      <x:c r="B12" s="23" t="str">
        <x:v>high</x:v>
      </x:c>
      <x:c r="C12" s="23" t="str">
        <x:v>high</x:v>
      </x:c>
      <x:c r="D12" s="23" t="str">
        <x:v>curl_support</x:v>
      </x:c>
      <x:c r="E12" s="23" t="str">
        <x:v>detangling | smoothing</x:v>
      </x:c>
      <x:c r="F12" s="23" t="str">
        <x:v>regular</x:v>
      </x:c>
      <x:c r="G12" s="23" t="str">
        <x:v>medium | coarse</x:v>
      </x:c>
      <x:c r="H12" s="23" t="str">
        <x:v>moderately_damaged | highly_damaged</x:v>
      </x:c>
      <x:c r="I12" s="23" t="str">
        <x:v>wavy | curly | coily</x:v>
      </x:c>
      <x:c r="J12" s="23" t="str">
        <x:v>avoid_roots</x:v>
      </x:c>
      <x:c r="K12" s="23" t="str"/>
      <x:c r="L12" s="23" t="str">
        <x:v>Curl support wins from the rich butter/polymer architecture and the product's curl-coily positioning. Ends-toward-roots directions still mean avoid roots as the practical default.</x:v>
      </x:c>
    </x:row>
    <x:row r="13">
      <x:c r="A13" s="23" t="str">
        <x:v>Colorglow Granatapfel Rose Conditioner</x:v>
      </x:c>
      <x:c r="B13" s="23" t="str">
        <x:v>high</x:v>
      </x:c>
      <x:c r="C13" s="23" t="str">
        <x:v>moderate</x:v>
      </x:c>
      <x:c r="D13" s="23" t="str">
        <x:v>color_care</x:v>
      </x:c>
      <x:c r="E13" s="23" t="str">
        <x:v>detangling | shine</x:v>
      </x:c>
      <x:c r="F13" s="23" t="str">
        <x:v>regular</x:v>
      </x:c>
      <x:c r="G13" s="23" t="str">
        <x:v>fine | medium | coarse</x:v>
      </x:c>
      <x:c r="H13" s="23" t="str">
        <x:v>moderately_damaged | highly_damaged</x:v>
      </x:c>
      <x:c r="I13" s="23" t="str">
        <x:v>straight | wavy | curly</x:v>
      </x:c>
      <x:c r="J13" s="23" t="str">
        <x:v>conditional</x:v>
      </x:c>
      <x:c r="K13" s="23" t="str">
        <x:v>primary_focus</x:v>
      </x:c>
      <x:c r="L13" s="23" t="str">
        <x:v>Color care is primary because the reviewed key marks a distinct color/UV-protection candidate as the strongest coherent supported route; this remains a compatibility prior, not anti-fade proof. Placement is not narrowed to lengths and ends, so scalp application is conditional.</x:v>
      </x:c>
    </x:row>
    <x:row r="14">
      <x:c r="A14" s="23" t="str">
        <x:v>Moisturising Conditioner Reisegröße</x:v>
      </x:c>
      <x:c r="B14" s="23" t="str">
        <x:v>high</x:v>
      </x:c>
      <x:c r="C14" s="23" t="str">
        <x:v>high</x:v>
      </x:c>
      <x:c r="D14" s="23" t="str">
        <x:v>curl_support</x:v>
      </x:c>
      <x:c r="E14" s="23" t="str">
        <x:v>detangling | smoothing</x:v>
      </x:c>
      <x:c r="F14" s="23" t="str">
        <x:v>regular</x:v>
      </x:c>
      <x:c r="G14" s="23" t="str">
        <x:v>medium | coarse</x:v>
      </x:c>
      <x:c r="H14" s="23" t="str">
        <x:v>moderately_damaged | highly_damaged</x:v>
      </x:c>
      <x:c r="I14" s="23" t="str">
        <x:v>wavy | curly | coily</x:v>
      </x:c>
      <x:c r="J14" s="23" t="str">
        <x:v>conditional</x:v>
      </x:c>
      <x:c r="K14" s="23" t="str"/>
      <x:c r="L14" s="23" t="str">
        <x:v>The manufacturer formula is authoritative and is independently confirmed for the exact 75 ml EAN by HAGEL. Its cationic/fatty-alcohol base, cationic guar, oils and butter support high conditioning, high weight and curl_support as the strongest coherent focus; detangling and smoothing are distinct secondary routes. The divergent dm transcription remains source history, while Flaconi EAN 4262391990056 is a different product identity and is not an exact-GTIN conflict.</x:v>
      </x:c>
    </x:row>
    <x:row r="15">
      <x:c r="A15" s="24" t="str">
        <x:v>Bond+ Reparatur Spülung</x:v>
      </x:c>
      <x:c r="B15" s="24" t="str">
        <x:v>high</x:v>
      </x:c>
      <x:c r="C15" s="24" t="str">
        <x:v>moderate</x:v>
      </x:c>
      <x:c r="D15" s="24" t="str">
        <x:v>repair</x:v>
      </x:c>
      <x:c r="E15" s="24" t="str">
        <x:v>detangling</x:v>
      </x:c>
      <x:c r="F15" s="24" t="str">
        <x:v>regular</x:v>
      </x:c>
      <x:c r="G15" s="24" t="str">
        <x:v>fine | medium | coarse</x:v>
      </x:c>
      <x:c r="H15" s="24" t="str">
        <x:v>moderately_damaged | highly_damaged</x:v>
      </x:c>
      <x:c r="I15" s="24" t="str">
        <x:v>straight | wavy | curly</x:v>
      </x:c>
      <x:c r="J15" s="24" t="str">
        <x:v>conditional</x:v>
      </x:c>
      <x:c r="K15" s="24" t="str">
        <x:v>primary_focus</x:v>
      </x:c>
      <x:c r="L15" s="24" t="str">
        <x:v>Repair wins from the recognized gluconamide/gluconate bond-chemistry candidate; without product-level substantiation it remains candidate-level, not product-tested bond repair. Whole-hair directions make scalp application conditional.</x:v>
      </x:c>
    </x:row>
  </x:sheetData>
  <x:mergeCells>
    <x:mergeCell ref="A1:L1"/>
    <x:mergeCell ref="A2:L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 min="3" max="3" width="16" hidden="0" customWidth="1"/>
    <x:col min="4" max="4" width="20" hidden="0" customWidth="1"/>
    <x:col min="5" max="5" width="28" hidden="0" customWidth="1"/>
    <x:col min="6" max="6" width="16" hidden="0" customWidth="1"/>
    <x:col min="7" max="7" width="28" hidden="0" customWidth="1"/>
    <x:col min="8" max="8" width="32" hidden="0" customWidth="1"/>
    <x:col min="9" max="9" width="30" hidden="0" customWidth="1"/>
    <x:col min="10" max="10" width="24" hidden="0" customWidth="1"/>
    <x:col min="11" max="11" width="45" hidden="0" customWidth="1"/>
    <x:col min="12" max="12" width="86" hidden="0" customWidth="1"/>
  </x:cols>
  <x:sheetData>
    <x:row r="1">
      <x:c r="A1" s="3" t="str">
        <x:v>Clean-room Reviewer E profiles</x:v>
      </x:c>
      <x:c r="B1" s="3"/>
      <x:c r="C1" s="3"/>
      <x:c r="D1" s="3"/>
      <x:c r="E1" s="3"/>
      <x:c r="F1" s="3"/>
      <x:c r="G1" s="3"/>
      <x:c r="H1" s="3"/>
      <x:c r="I1" s="3"/>
      <x:c r="J1" s="3"/>
      <x:c r="K1" s="3"/>
      <x:c r="L1" s="3"/>
    </x:row>
    <x:row r="2">
      <x:c r="A2" s="6" t="str">
        <x:v>Independent nine-field classification from the corrected formulas, directions and direct-property evidence; the accepted key and prior reviewer artifacts were not read.</x:v>
      </x:c>
      <x:c r="B2" s="6"/>
      <x:c r="C2" s="6"/>
      <x:c r="D2" s="6"/>
      <x:c r="E2" s="6"/>
      <x:c r="F2" s="6"/>
      <x:c r="G2" s="6"/>
      <x:c r="H2" s="6"/>
      <x:c r="I2" s="6"/>
      <x:c r="J2" s="6"/>
      <x:c r="K2" s="6"/>
      <x:c r="L2" s="6"/>
    </x:row>
    <x:row r="4">
      <x:c r="A4" s="13" t="str">
        <x:v>product</x:v>
      </x:c>
      <x:c r="B4" s="55" t="str">
        <x:v>conditioning_level</x:v>
      </x:c>
      <x:c r="C4" s="55" t="str">
        <x:v>weight_potential</x:v>
      </x:c>
      <x:c r="D4" s="55" t="str">
        <x:v>primary_focus</x:v>
      </x:c>
      <x:c r="E4" s="55" t="str">
        <x:v>secondary_focus</x:v>
      </x:c>
      <x:c r="F4" s="55" t="str">
        <x:v>usage_role</x:v>
      </x:c>
      <x:c r="G4" s="55" t="str">
        <x:v>hair_thickness_fit</x:v>
      </x:c>
      <x:c r="H4" s="55" t="str">
        <x:v>damage_fit</x:v>
      </x:c>
      <x:c r="I4" s="55" t="str">
        <x:v>texture_fit</x:v>
      </x:c>
      <x:c r="J4" s="55" t="str">
        <x:v>scalp_application_fit</x:v>
      </x:c>
      <x:c r="K4" s="55" t="str">
        <x:v>uncertain_fields</x:v>
      </x:c>
      <x:c r="L4" s="14" t="str">
        <x:v>assumption_notes</x:v>
      </x:c>
    </x:row>
    <x:row r="5">
      <x:c r="A5" s="22" t="str">
        <x:v>Balea Med Ultra Sensitive Conditioner</x:v>
      </x:c>
      <x:c r="B5" s="22" t="str">
        <x:v>high</x:v>
      </x:c>
      <x:c r="C5" s="22" t="str">
        <x:v>moderate</x:v>
      </x:c>
      <x:c r="D5" s="22" t="str">
        <x:v>detangling</x:v>
      </x:c>
      <x:c r="E5" s="22" t="str">
        <x:v>smoothing</x:v>
      </x:c>
      <x:c r="F5" s="22" t="str">
        <x:v>regular</x:v>
      </x:c>
      <x:c r="G5" s="22" t="str">
        <x:v>fine | medium | coarse</x:v>
      </x:c>
      <x:c r="H5" s="22" t="str">
        <x:v>moderately_damaged | highly_damaged</x:v>
      </x:c>
      <x:c r="I5" s="22" t="str">
        <x:v>straight | wavy | curly</x:v>
      </x:c>
      <x:c r="J5" s="22" t="str">
        <x:v>conditional</x:v>
      </x:c>
      <x:c r="K5" s="22" t="str">
        <x:v>secondary_focus</x:v>
      </x:c>
      <x:c r="L5" s="22" t="str">
        <x:v>High cationic-base plus cationic-guar support makes wet slip the clearest route; smoothing is retained only as a moderate surface-deposition prior, and no listed fragrance signal is not treated as a safety claim.</x:v>
      </x:c>
    </x:row>
    <x:row r="6">
      <x:c r="A6" s="23" t="str">
        <x:v>Balea Professional Aqua Hyaluron Conditioner</x:v>
      </x:c>
      <x:c r="B6" s="23" t="str">
        <x:v>moderate</x:v>
      </x:c>
      <x:c r="C6" s="23" t="str">
        <x:v>low</x:v>
      </x:c>
      <x:c r="D6" s="23" t="str">
        <x:v>lightness</x:v>
      </x:c>
      <x:c r="E6" s="23" t="str">
        <x:v>detangling</x:v>
      </x:c>
      <x:c r="F6" s="23" t="str">
        <x:v>regular</x:v>
      </x:c>
      <x:c r="G6" s="23" t="str">
        <x:v>fine | medium</x:v>
      </x:c>
      <x:c r="H6" s="23" t="str">
        <x:v>healthy | moderately_damaged</x:v>
      </x:c>
      <x:c r="I6" s="23" t="str">
        <x:v>straight | wavy</x:v>
      </x:c>
      <x:c r="J6" s="23" t="str">
        <x:v>conditional</x:v>
      </x:c>
      <x:c r="K6" s="23" t="str"/>
      <x:c r="L6" s="23" t="str">
        <x:v>Compact fatty-alcohol/amidoamine architecture with low deposition potential supports lightness; hyaluron and aloe are not used to upgrade performance.</x:v>
      </x:c>
    </x:row>
    <x:row r="7">
      <x:c r="A7" s="23" t="str">
        <x:v>Hair Food Aloe Vera Feuchtigkeits-Spülung</x:v>
      </x:c>
      <x:c r="B7" s="23" t="str">
        <x:v>high</x:v>
      </x:c>
      <x:c r="C7" s="23" t="str">
        <x:v>high</x:v>
      </x:c>
      <x:c r="D7" s="23" t="str">
        <x:v>smoothing</x:v>
      </x:c>
      <x:c r="E7" s="23" t="str">
        <x:v>detangling | shine</x:v>
      </x:c>
      <x:c r="F7" s="23" t="str">
        <x:v>regular</x:v>
      </x:c>
      <x:c r="G7" s="23" t="str">
        <x:v>medium | coarse</x:v>
      </x:c>
      <x:c r="H7" s="23" t="str">
        <x:v>moderately_damaged | highly_damaged</x:v>
      </x:c>
      <x:c r="I7" s="23" t="str">
        <x:v>wavy | curly | coily</x:v>
      </x:c>
      <x:c r="J7" s="23" t="str">
        <x:v>avoid_roots</x:v>
      </x:c>
      <x:c r="K7" s="23" t="str">
        <x:v>primary_focus</x:v>
      </x:c>
      <x:c r="L7" s="23" t="str">
        <x:v>Rich lipid/emollient plus conditioning base makes smoothing/softness the strongest projected role; detangling is high but shares much of the same deposition mechanism.</x:v>
      </x:c>
    </x:row>
    <x:row r="8">
      <x:c r="A8" s="23" t="str">
        <x:v>Volume Victory Conditioner</x:v>
      </x:c>
      <x:c r="B8" s="23" t="str">
        <x:v>high</x:v>
      </x:c>
      <x:c r="C8" s="23" t="str">
        <x:v>high</x:v>
      </x:c>
      <x:c r="D8" s="23" t="str">
        <x:v>smoothing</x:v>
      </x:c>
      <x:c r="E8" s="23" t="str">
        <x:v>shine | repair</x:v>
      </x:c>
      <x:c r="F8" s="23" t="str">
        <x:v>regular</x:v>
      </x:c>
      <x:c r="G8" s="23" t="str">
        <x:v>medium | coarse</x:v>
      </x:c>
      <x:c r="H8" s="23" t="str">
        <x:v>moderately_damaged | highly_damaged</x:v>
      </x:c>
      <x:c r="I8" s="23" t="str">
        <x:v>wavy | curly | coily</x:v>
      </x:c>
      <x:c r="J8" s="23" t="str">
        <x:v>avoid_roots</x:v>
      </x:c>
      <x:c r="K8" s="23" t="str">
        <x:v>primary_focus | secondary_focus</x:v>
      </x:c>
      <x:c r="L8" s="23" t="str">
        <x:v>Amodimethicone, polyquaternium, peptide/film signals, and cationic base outweigh the volume positioning; repair is only a temporary film-support candidate.</x:v>
      </x:c>
    </x:row>
    <x:row r="9">
      <x:c r="A9" s="23" t="str">
        <x:v>Frizz Ease Wunder-Reparatur Conditioner</x:v>
      </x:c>
      <x:c r="B9" s="23" t="str">
        <x:v>high</x:v>
      </x:c>
      <x:c r="C9" s="23" t="str">
        <x:v>high</x:v>
      </x:c>
      <x:c r="D9" s="23" t="str">
        <x:v>smoothing</x:v>
      </x:c>
      <x:c r="E9" s="23" t="str">
        <x:v>detangling | shine</x:v>
      </x:c>
      <x:c r="F9" s="23" t="str">
        <x:v>frequent</x:v>
      </x:c>
      <x:c r="G9" s="23" t="str">
        <x:v>medium | coarse</x:v>
      </x:c>
      <x:c r="H9" s="23" t="str">
        <x:v>moderately_damaged | highly_damaged</x:v>
      </x:c>
      <x:c r="I9" s="23" t="str">
        <x:v>wavy | curly | coily</x:v>
      </x:c>
      <x:c r="J9" s="23" t="str">
        <x:v>avoid_roots</x:v>
      </x:c>
      <x:c r="K9" s="23" t="str">
        <x:v>secondary_focus</x:v>
      </x:c>
      <x:c r="L9" s="23" t="str">
        <x:v>Frizz positioning is corroborated by high lubrication/smoothing potential from cationic and emollient routes; repair wording is not enough for a repair focus without a distinct film or bond route.</x:v>
      </x:c>
    </x:row>
    <x:row r="10">
      <x:c r="A10" s="23" t="str">
        <x:v>Panthenol + Reparatur 2in1 Kur &amp; Spülung</x:v>
      </x:c>
      <x:c r="B10" s="23" t="str">
        <x:v>high</x:v>
      </x:c>
      <x:c r="C10" s="23" t="str">
        <x:v>moderate</x:v>
      </x:c>
      <x:c r="D10" s="23" t="str">
        <x:v>detangling</x:v>
      </x:c>
      <x:c r="E10" s="23" t="str">
        <x:v>smoothing | shine</x:v>
      </x:c>
      <x:c r="F10" s="23" t="str">
        <x:v>regular</x:v>
      </x:c>
      <x:c r="G10" s="23" t="str">
        <x:v>fine | medium | coarse</x:v>
      </x:c>
      <x:c r="H10" s="23" t="str">
        <x:v>moderately_damaged | highly_damaged</x:v>
      </x:c>
      <x:c r="I10" s="23" t="str">
        <x:v>straight | wavy | curly</x:v>
      </x:c>
      <x:c r="J10" s="23" t="str">
        <x:v>conditional</x:v>
      </x:c>
      <x:c r="K10" s="23" t="str">
        <x:v>secondary_focus</x:v>
      </x:c>
      <x:c r="L10" s="23" t="str">
        <x:v>Strong cationic base makes detangling the clearest supported route; panthenol and repair naming are not treated as structural repair evidence.</x:v>
      </x:c>
    </x:row>
    <x:row r="11">
      <x:c r="A11" s="23" t="str">
        <x:v>Biotin &amp; Collagen Conditioner</x:v>
      </x:c>
      <x:c r="B11" s="23" t="str">
        <x:v>high</x:v>
      </x:c>
      <x:c r="C11" s="23" t="str">
        <x:v>high</x:v>
      </x:c>
      <x:c r="D11" s="23" t="str">
        <x:v>smoothing</x:v>
      </x:c>
      <x:c r="E11" s="23" t="str">
        <x:v>shine | repair</x:v>
      </x:c>
      <x:c r="F11" s="23" t="str">
        <x:v>regular</x:v>
      </x:c>
      <x:c r="G11" s="23" t="str">
        <x:v>medium | coarse</x:v>
      </x:c>
      <x:c r="H11" s="23" t="str">
        <x:v>moderately_damaged | highly_damaged</x:v>
      </x:c>
      <x:c r="I11" s="23" t="str">
        <x:v>wavy | curly | coily</x:v>
      </x:c>
      <x:c r="J11" s="23" t="str">
        <x:v>conditional</x:v>
      </x:c>
      <x:c r="K11" s="23" t="str">
        <x:v>primary_focus</x:v>
      </x:c>
      <x:c r="L11" s="23" t="str">
        <x:v>Dimethicone, emollients, and cationic base make smoothing the dominant practical route; hydrolyzed collagen supports only temporary film-style repair potential, not strand thickening.</x:v>
      </x:c>
    </x:row>
    <x:row r="12">
      <x:c r="A12" s="23" t="str">
        <x:v>Conditioner Cream</x:v>
      </x:c>
      <x:c r="B12" s="23" t="str">
        <x:v>high</x:v>
      </x:c>
      <x:c r="C12" s="23" t="str">
        <x:v>high</x:v>
      </x:c>
      <x:c r="D12" s="23" t="str">
        <x:v>curl_support</x:v>
      </x:c>
      <x:c r="E12" s="23" t="str">
        <x:v>smoothing | detangling</x:v>
      </x:c>
      <x:c r="F12" s="23" t="str">
        <x:v>regular</x:v>
      </x:c>
      <x:c r="G12" s="23" t="str">
        <x:v>medium | coarse</x:v>
      </x:c>
      <x:c r="H12" s="23" t="str">
        <x:v>moderately_damaged | highly_damaged</x:v>
      </x:c>
      <x:c r="I12" s="23" t="str">
        <x:v>wavy | curly | coily</x:v>
      </x:c>
      <x:c r="J12" s="23" t="str">
        <x:v>avoid_roots</x:v>
      </x:c>
      <x:c r="K12" s="23" t="str">
        <x:v>primary_focus</x:v>
      </x:c>
      <x:c r="L12" s="23" t="str">
        <x:v>High slip plus rich butter/emollient/polymer architecture is compatible with curl/coily use; vitamins are not counted as separate repair mechanisms.</x:v>
      </x:c>
    </x:row>
    <x:row r="13">
      <x:c r="A13" s="23" t="str">
        <x:v>Colorglow Granatapfel Rose Conditioner</x:v>
      </x:c>
      <x:c r="B13" s="23" t="str">
        <x:v>high</x:v>
      </x:c>
      <x:c r="C13" s="23" t="str">
        <x:v>moderate</x:v>
      </x:c>
      <x:c r="D13" s="23" t="str">
        <x:v>color_care</x:v>
      </x:c>
      <x:c r="E13" s="23" t="str">
        <x:v>detangling | shine</x:v>
      </x:c>
      <x:c r="F13" s="23" t="str">
        <x:v>regular</x:v>
      </x:c>
      <x:c r="G13" s="23" t="str">
        <x:v>fine | medium | coarse</x:v>
      </x:c>
      <x:c r="H13" s="23" t="str">
        <x:v>moderately_damaged | highly_damaged</x:v>
      </x:c>
      <x:c r="I13" s="23" t="str">
        <x:v>straight | wavy | curly</x:v>
      </x:c>
      <x:c r="J13" s="23" t="str">
        <x:v>conditional</x:v>
      </x:c>
      <x:c r="K13" s="23" t="str">
        <x:v>primary_focus</x:v>
      </x:c>
      <x:c r="L13" s="23" t="str">
        <x:v>Color positioning plus benzophenone-4 supports color care as a candidate, not anti-fade proof; high cationic conditioning separately supports detangling.</x:v>
      </x:c>
    </x:row>
    <x:row r="14">
      <x:c r="A14" s="23" t="str">
        <x:v>Moisturising Conditioner Reisegröße</x:v>
      </x:c>
      <x:c r="B14" s="23" t="str">
        <x:v>high</x:v>
      </x:c>
      <x:c r="C14" s="23" t="str">
        <x:v>high</x:v>
      </x:c>
      <x:c r="D14" s="23" t="str">
        <x:v>curl_support</x:v>
      </x:c>
      <x:c r="E14" s="23" t="str">
        <x:v>smoothing | detangling</x:v>
      </x:c>
      <x:c r="F14" s="23" t="str">
        <x:v>regular</x:v>
      </x:c>
      <x:c r="G14" s="23" t="str">
        <x:v>medium | coarse</x:v>
      </x:c>
      <x:c r="H14" s="23" t="str">
        <x:v>moderately_damaged | highly_damaged</x:v>
      </x:c>
      <x:c r="I14" s="23" t="str">
        <x:v>wavy | curly | coily</x:v>
      </x:c>
      <x:c r="J14" s="23" t="str">
        <x:v>conditional</x:v>
      </x:c>
      <x:c r="K14" s="23" t="str">
        <x:v>secondary_focus</x:v>
      </x:c>
      <x:c r="L14" s="23" t="str">
        <x:v>Curl positioning is used only to corroborate a rich high-slip architecture from oils, butter, cationic base, and cationic guar; no finished-product sensory endpoint is assumed.</x:v>
      </x:c>
    </x:row>
    <x:row r="15">
      <x:c r="A15" s="24" t="str">
        <x:v>Bond+ Reparatur Spülung</x:v>
      </x:c>
      <x:c r="B15" s="24" t="str">
        <x:v>high</x:v>
      </x:c>
      <x:c r="C15" s="24" t="str">
        <x:v>moderate</x:v>
      </x:c>
      <x:c r="D15" s="24" t="str">
        <x:v>repair</x:v>
      </x:c>
      <x:c r="E15" s="24" t="str">
        <x:v>detangling</x:v>
      </x:c>
      <x:c r="F15" s="24" t="str">
        <x:v>regular</x:v>
      </x:c>
      <x:c r="G15" s="24" t="str">
        <x:v>fine | medium | coarse</x:v>
      </x:c>
      <x:c r="H15" s="24" t="str">
        <x:v>moderately_damaged | highly_damaged</x:v>
      </x:c>
      <x:c r="I15" s="24" t="str">
        <x:v>straight | wavy | curly</x:v>
      </x:c>
      <x:c r="J15" s="24" t="str">
        <x:v>conditional</x:v>
      </x:c>
      <x:c r="K15" s="24" t="str">
        <x:v>primary_focus</x:v>
      </x:c>
      <x:c r="L15" s="24" t="str">
        <x:v>Hydroxypropylgluconamide and hydroxypropylammonium gluconate create a distinct bond-chemistry candidate that supports repair as the focus, capped below tested product performance.</x:v>
      </x:c>
    </x:row>
  </x:sheetData>
  <x:mergeCells>
    <x:mergeCell ref="A1:L1"/>
    <x:mergeCell ref="A2:L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28" hidden="0" customWidth="1"/>
    <x:col min="3" max="3" width="34" hidden="0" customWidth="1"/>
    <x:col min="4" max="4" width="34" hidden="0" customWidth="1"/>
    <x:col min="5" max="5" width="10" hidden="0" customWidth="1"/>
    <x:col min="6" max="6" width="76" hidden="0" customWidth="1"/>
    <x:col min="7" max="7" width="24" hidden="0" customWidth="1"/>
    <x:col min="8" max="8" width="36" hidden="0" customWidth="1"/>
  </x:cols>
  <x:sheetData>
    <x:row r="1">
      <x:c r="A1" s="3" t="str">
        <x:v>Nine-field profile comparison</x:v>
      </x:c>
      <x:c r="B1" s="3"/>
      <x:c r="C1" s="3"/>
      <x:c r="D1" s="3"/>
      <x:c r="E1" s="3"/>
      <x:c r="F1" s="3"/>
      <x:c r="G1" s="3"/>
      <x:c r="H1" s="3"/>
    </x:row>
    <x:row r="2">
      <x:c r="A2" s="6" t="str">
        <x:v>One row per product/profile field. The exact check compares the accepted key with clean-room Reviewer E after documented adjudication.</x:v>
      </x:c>
      <x:c r="B2" s="6"/>
      <x:c r="C2" s="6"/>
      <x:c r="D2" s="6"/>
      <x:c r="E2" s="6"/>
      <x:c r="F2" s="6"/>
      <x:c r="G2" s="6"/>
      <x:c r="H2" s="6"/>
    </x:row>
    <x:row r="4">
      <x:c r="A4" s="13" t="str">
        <x:v>product</x:v>
      </x:c>
      <x:c r="B4" s="55" t="str">
        <x:v>field</x:v>
      </x:c>
      <x:c r="C4" s="55" t="str">
        <x:v>accepted</x:v>
      </x:c>
      <x:c r="D4" s="55" t="str">
        <x:v>Reviewer E</x:v>
      </x:c>
      <x:c r="E4" s="55" t="str">
        <x:v>exact</x:v>
      </x:c>
      <x:c r="F4" s="55" t="str">
        <x:v>difference reason</x:v>
      </x:c>
      <x:c r="G4" s="55" t="str">
        <x:v>remaining status</x:v>
      </x:c>
      <x:c r="H4" s="14" t="str">
        <x:v>review note</x:v>
      </x:c>
    </x:row>
    <x:row r="5">
      <x:c r="A5" s="22" t="str">
        <x:v>Balea Med Ultra Sensitive Conditioner</x:v>
      </x:c>
      <x:c r="B5" s="22" t="str">
        <x:v>conditioning_level</x:v>
      </x:c>
      <x:c r="C5" s="22" t="str">
        <x:v>high</x:v>
      </x:c>
      <x:c r="D5" s="22" t="str">
        <x:v>high</x:v>
      </x:c>
      <x:c r="E5" s="22" t="n">
        <x:f>IF(C5=D5,1,0)</x:f>
        <x:v>1</x:v>
      </x:c>
      <x:c r="F5" s="22" t="str"/>
      <x:c r="G5" s="22" t="str"/>
      <x:c r="H5" s="22" t="str"/>
    </x:row>
    <x:row r="6">
      <x:c r="A6" s="23" t="str">
        <x:v>Balea Med Ultra Sensitive Conditioner</x:v>
      </x:c>
      <x:c r="B6" s="23" t="str">
        <x:v>weight_potential</x:v>
      </x:c>
      <x:c r="C6" s="23" t="str">
        <x:v>moderate</x:v>
      </x:c>
      <x:c r="D6" s="23" t="str">
        <x:v>moderate</x:v>
      </x:c>
      <x:c r="E6" s="23" t="n">
        <x:f>IF(C6=D6,1,0)</x:f>
        <x:v>1</x:v>
      </x:c>
      <x:c r="F6" s="23" t="str"/>
      <x:c r="G6" s="23" t="str"/>
      <x:c r="H6" s="23" t="str"/>
    </x:row>
    <x:row r="7">
      <x:c r="A7" s="23" t="str">
        <x:v>Balea Med Ultra Sensitive Conditioner</x:v>
      </x:c>
      <x:c r="B7" s="23" t="str">
        <x:v>primary_focus</x:v>
      </x:c>
      <x:c r="C7" s="23" t="str">
        <x:v>detangling</x:v>
      </x:c>
      <x:c r="D7" s="23" t="str">
        <x:v>detangling</x:v>
      </x:c>
      <x:c r="E7" s="23" t="n">
        <x:f>IF(C7=D7,1,0)</x:f>
        <x:v>1</x:v>
      </x:c>
      <x:c r="F7" s="23" t="str"/>
      <x:c r="G7" s="23" t="str"/>
      <x:c r="H7" s="23" t="str"/>
    </x:row>
    <x:row r="8">
      <x:c r="A8" s="23" t="str">
        <x:v>Balea Med Ultra Sensitive Conditioner</x:v>
      </x:c>
      <x:c r="B8" s="23" t="str">
        <x:v>secondary_focus</x:v>
      </x:c>
      <x:c r="C8" s="23" t="str">
        <x:v>smoothing</x:v>
      </x:c>
      <x:c r="D8" s="23" t="str">
        <x:v>smoothing</x:v>
      </x:c>
      <x:c r="E8" s="23" t="n">
        <x:f>IF(C8=D8,1,0)</x:f>
        <x:v>1</x:v>
      </x:c>
      <x:c r="F8" s="23" t="str"/>
      <x:c r="G8" s="23" t="str"/>
      <x:c r="H8" s="23" t="str"/>
    </x:row>
    <x:row r="9">
      <x:c r="A9" s="23" t="str">
        <x:v>Balea Med Ultra Sensitive Conditioner</x:v>
      </x:c>
      <x:c r="B9" s="23" t="str">
        <x:v>usage_role</x:v>
      </x:c>
      <x:c r="C9" s="23" t="str">
        <x:v>regular</x:v>
      </x:c>
      <x:c r="D9" s="23" t="str">
        <x:v>regular</x:v>
      </x:c>
      <x:c r="E9" s="23" t="n">
        <x:f>IF(C9=D9,1,0)</x:f>
        <x:v>1</x:v>
      </x:c>
      <x:c r="F9" s="23" t="str"/>
      <x:c r="G9" s="23" t="str"/>
      <x:c r="H9" s="23" t="str"/>
    </x:row>
    <x:row r="10">
      <x:c r="A10" s="23" t="str">
        <x:v>Balea Med Ultra Sensitive Conditioner</x:v>
      </x:c>
      <x:c r="B10" s="23" t="str">
        <x:v>hair_thickness_fit</x:v>
      </x:c>
      <x:c r="C10" s="23" t="str">
        <x:v>fine | medium | coarse</x:v>
      </x:c>
      <x:c r="D10" s="23" t="str">
        <x:v>fine | medium | coarse</x:v>
      </x:c>
      <x:c r="E10" s="23" t="n">
        <x:f>IF(C10=D10,1,0)</x:f>
        <x:v>1</x:v>
      </x:c>
      <x:c r="F10" s="23" t="str"/>
      <x:c r="G10" s="23" t="str"/>
      <x:c r="H10" s="23" t="str"/>
    </x:row>
    <x:row r="11">
      <x:c r="A11" s="23" t="str">
        <x:v>Balea Med Ultra Sensitive Conditioner</x:v>
      </x:c>
      <x:c r="B11" s="23" t="str">
        <x:v>damage_fit</x:v>
      </x:c>
      <x:c r="C11" s="23" t="str">
        <x:v>moderately_damaged | highly_damaged</x:v>
      </x:c>
      <x:c r="D11" s="23" t="str">
        <x:v>moderately_damaged | highly_damaged</x:v>
      </x:c>
      <x:c r="E11" s="23" t="n">
        <x:f>IF(C11=D11,1,0)</x:f>
        <x:v>1</x:v>
      </x:c>
      <x:c r="F11" s="23" t="str"/>
      <x:c r="G11" s="23" t="str"/>
      <x:c r="H11" s="23" t="str"/>
    </x:row>
    <x:row r="12">
      <x:c r="A12" s="23" t="str">
        <x:v>Balea Med Ultra Sensitive Conditioner</x:v>
      </x:c>
      <x:c r="B12" s="23" t="str">
        <x:v>texture_fit</x:v>
      </x:c>
      <x:c r="C12" s="23" t="str">
        <x:v>straight | wavy | curly</x:v>
      </x:c>
      <x:c r="D12" s="23" t="str">
        <x:v>straight | wavy | curly</x:v>
      </x:c>
      <x:c r="E12" s="23" t="n">
        <x:f>IF(C12=D12,1,0)</x:f>
        <x:v>1</x:v>
      </x:c>
      <x:c r="F12" s="23" t="str"/>
      <x:c r="G12" s="23" t="str"/>
      <x:c r="H12" s="23" t="str"/>
    </x:row>
    <x:row r="13">
      <x:c r="A13" s="23" t="str">
        <x:v>Balea Med Ultra Sensitive Conditioner</x:v>
      </x:c>
      <x:c r="B13" s="23" t="str">
        <x:v>scalp_application_fit</x:v>
      </x:c>
      <x:c r="C13" s="23" t="str">
        <x:v>conditional</x:v>
      </x:c>
      <x:c r="D13" s="23" t="str">
        <x:v>conditional</x:v>
      </x:c>
      <x:c r="E13" s="23" t="n">
        <x:f>IF(C13=D13,1,0)</x:f>
        <x:v>1</x:v>
      </x:c>
      <x:c r="F13" s="23" t="str"/>
      <x:c r="G13" s="23" t="str"/>
      <x:c r="H13" s="23" t="str"/>
    </x:row>
    <x:row r="14">
      <x:c r="A14" s="23" t="str">
        <x:v>Balea Professional Aqua Hyaluron Conditioner</x:v>
      </x:c>
      <x:c r="B14" s="23" t="str">
        <x:v>conditioning_level</x:v>
      </x:c>
      <x:c r="C14" s="23" t="str">
        <x:v>moderate</x:v>
      </x:c>
      <x:c r="D14" s="23" t="str">
        <x:v>moderate</x:v>
      </x:c>
      <x:c r="E14" s="23" t="n">
        <x:f>IF(C14=D14,1,0)</x:f>
        <x:v>1</x:v>
      </x:c>
      <x:c r="F14" s="23" t="str"/>
      <x:c r="G14" s="23" t="str"/>
      <x:c r="H14" s="23" t="str"/>
    </x:row>
    <x:row r="15">
      <x:c r="A15" s="23" t="str">
        <x:v>Balea Professional Aqua Hyaluron Conditioner</x:v>
      </x:c>
      <x:c r="B15" s="23" t="str">
        <x:v>weight_potential</x:v>
      </x:c>
      <x:c r="C15" s="23" t="str">
        <x:v>low</x:v>
      </x:c>
      <x:c r="D15" s="23" t="str">
        <x:v>low</x:v>
      </x:c>
      <x:c r="E15" s="23" t="n">
        <x:f>IF(C15=D15,1,0)</x:f>
        <x:v>1</x:v>
      </x:c>
      <x:c r="F15" s="23" t="str"/>
      <x:c r="G15" s="23" t="str"/>
      <x:c r="H15" s="23" t="str"/>
    </x:row>
    <x:row r="16">
      <x:c r="A16" s="23" t="str">
        <x:v>Balea Professional Aqua Hyaluron Conditioner</x:v>
      </x:c>
      <x:c r="B16" s="23" t="str">
        <x:v>primary_focus</x:v>
      </x:c>
      <x:c r="C16" s="23" t="str">
        <x:v>lightness</x:v>
      </x:c>
      <x:c r="D16" s="23" t="str">
        <x:v>lightness</x:v>
      </x:c>
      <x:c r="E16" s="23" t="n">
        <x:f>IF(C16=D16,1,0)</x:f>
        <x:v>1</x:v>
      </x:c>
      <x:c r="F16" s="23" t="str"/>
      <x:c r="G16" s="23" t="str"/>
      <x:c r="H16" s="23" t="str"/>
    </x:row>
    <x:row r="17">
      <x:c r="A17" s="23" t="str">
        <x:v>Balea Professional Aqua Hyaluron Conditioner</x:v>
      </x:c>
      <x:c r="B17" s="23" t="str">
        <x:v>secondary_focus</x:v>
      </x:c>
      <x:c r="C17" s="23" t="str">
        <x:v>detangling</x:v>
      </x:c>
      <x:c r="D17" s="23" t="str">
        <x:v>detangling</x:v>
      </x:c>
      <x:c r="E17" s="23" t="n">
        <x:f>IF(C17=D17,1,0)</x:f>
        <x:v>1</x:v>
      </x:c>
      <x:c r="F17" s="23" t="str"/>
      <x:c r="G17" s="23" t="str"/>
      <x:c r="H17" s="23" t="str"/>
    </x:row>
    <x:row r="18">
      <x:c r="A18" s="23" t="str">
        <x:v>Balea Professional Aqua Hyaluron Conditioner</x:v>
      </x:c>
      <x:c r="B18" s="23" t="str">
        <x:v>usage_role</x:v>
      </x:c>
      <x:c r="C18" s="23" t="str">
        <x:v>regular</x:v>
      </x:c>
      <x:c r="D18" s="23" t="str">
        <x:v>regular</x:v>
      </x:c>
      <x:c r="E18" s="23" t="n">
        <x:f>IF(C18=D18,1,0)</x:f>
        <x:v>1</x:v>
      </x:c>
      <x:c r="F18" s="23" t="str"/>
      <x:c r="G18" s="23" t="str"/>
      <x:c r="H18" s="23" t="str"/>
    </x:row>
    <x:row r="19">
      <x:c r="A19" s="23" t="str">
        <x:v>Balea Professional Aqua Hyaluron Conditioner</x:v>
      </x:c>
      <x:c r="B19" s="23" t="str">
        <x:v>hair_thickness_fit</x:v>
      </x:c>
      <x:c r="C19" s="23" t="str">
        <x:v>fine | medium</x:v>
      </x:c>
      <x:c r="D19" s="23" t="str">
        <x:v>fine | medium</x:v>
      </x:c>
      <x:c r="E19" s="23" t="n">
        <x:f>IF(C19=D19,1,0)</x:f>
        <x:v>1</x:v>
      </x:c>
      <x:c r="F19" s="23" t="str"/>
      <x:c r="G19" s="23" t="str"/>
      <x:c r="H19" s="23" t="str"/>
    </x:row>
    <x:row r="20">
      <x:c r="A20" s="23" t="str">
        <x:v>Balea Professional Aqua Hyaluron Conditioner</x:v>
      </x:c>
      <x:c r="B20" s="23" t="str">
        <x:v>damage_fit</x:v>
      </x:c>
      <x:c r="C20" s="23" t="str">
        <x:v>healthy | moderately_damaged</x:v>
      </x:c>
      <x:c r="D20" s="23" t="str">
        <x:v>healthy | moderately_damaged</x:v>
      </x:c>
      <x:c r="E20" s="23" t="n">
        <x:f>IF(C20=D20,1,0)</x:f>
        <x:v>1</x:v>
      </x:c>
      <x:c r="F20" s="23" t="str"/>
      <x:c r="G20" s="23" t="str"/>
      <x:c r="H20" s="23" t="str"/>
    </x:row>
    <x:row r="21">
      <x:c r="A21" s="23" t="str">
        <x:v>Balea Professional Aqua Hyaluron Conditioner</x:v>
      </x:c>
      <x:c r="B21" s="23" t="str">
        <x:v>texture_fit</x:v>
      </x:c>
      <x:c r="C21" s="23" t="str">
        <x:v>straight | wavy</x:v>
      </x:c>
      <x:c r="D21" s="23" t="str">
        <x:v>straight | wavy</x:v>
      </x:c>
      <x:c r="E21" s="23" t="n">
        <x:f>IF(C21=D21,1,0)</x:f>
        <x:v>1</x:v>
      </x:c>
      <x:c r="F21" s="23" t="str"/>
      <x:c r="G21" s="23" t="str"/>
      <x:c r="H21" s="23" t="str"/>
    </x:row>
    <x:row r="22">
      <x:c r="A22" s="23" t="str">
        <x:v>Balea Professional Aqua Hyaluron Conditioner</x:v>
      </x:c>
      <x:c r="B22" s="23" t="str">
        <x:v>scalp_application_fit</x:v>
      </x:c>
      <x:c r="C22" s="23" t="str">
        <x:v>conditional</x:v>
      </x:c>
      <x:c r="D22" s="23" t="str">
        <x:v>conditional</x:v>
      </x:c>
      <x:c r="E22" s="23" t="n">
        <x:f>IF(C22=D22,1,0)</x:f>
        <x:v>1</x:v>
      </x:c>
      <x:c r="F22" s="23" t="str"/>
      <x:c r="G22" s="23" t="str"/>
      <x:c r="H22" s="23" t="str"/>
    </x:row>
    <x:row r="23">
      <x:c r="A23" s="23" t="str">
        <x:v>Hair Food Aloe Vera Feuchtigkeits-Spülung</x:v>
      </x:c>
      <x:c r="B23" s="23" t="str">
        <x:v>conditioning_level</x:v>
      </x:c>
      <x:c r="C23" s="23" t="str">
        <x:v>high</x:v>
      </x:c>
      <x:c r="D23" s="23" t="str">
        <x:v>high</x:v>
      </x:c>
      <x:c r="E23" s="23" t="n">
        <x:f>IF(C23=D23,1,0)</x:f>
        <x:v>1</x:v>
      </x:c>
      <x:c r="F23" s="23" t="str"/>
      <x:c r="G23" s="23" t="str"/>
      <x:c r="H23" s="23" t="str"/>
    </x:row>
    <x:row r="24">
      <x:c r="A24" s="23" t="str">
        <x:v>Hair Food Aloe Vera Feuchtigkeits-Spülung</x:v>
      </x:c>
      <x:c r="B24" s="23" t="str">
        <x:v>weight_potential</x:v>
      </x:c>
      <x:c r="C24" s="23" t="str">
        <x:v>high</x:v>
      </x:c>
      <x:c r="D24" s="23" t="str">
        <x:v>high</x:v>
      </x:c>
      <x:c r="E24" s="23" t="n">
        <x:f>IF(C24=D24,1,0)</x:f>
        <x:v>1</x:v>
      </x:c>
      <x:c r="F24" s="23" t="str"/>
      <x:c r="G24" s="23" t="str"/>
      <x:c r="H24" s="23" t="str"/>
    </x:row>
    <x:row r="25">
      <x:c r="A25" s="23" t="str">
        <x:v>Hair Food Aloe Vera Feuchtigkeits-Spülung</x:v>
      </x:c>
      <x:c r="B25" s="23" t="str">
        <x:v>primary_focus</x:v>
      </x:c>
      <x:c r="C25" s="23" t="str">
        <x:v>detangling</x:v>
      </x:c>
      <x:c r="D25" s="23" t="str">
        <x:v>smoothing</x:v>
      </x:c>
      <x:c r="E25" s="23" t="n">
        <x:f>IF(C25=D25,1,0)</x:f>
        <x:v>0</x:v>
      </x:c>
      <x:c r="F25" s="23" t="str">
        <x:v>Higher wet-slip evidence is the most direct route; smoothing remains secondary. The blind alternative is plausible and is retained as focus-label uncertainty.</x:v>
      </x:c>
      <x:c r="G25" s="23" t="str">
        <x:v>accepted_focus_judgment</x:v>
      </x:c>
      <x:c r="H25" s="23" t="str">
        <x:v>Keep visible for Nick review</x:v>
      </x:c>
    </x:row>
    <x:row r="26">
      <x:c r="A26" s="23" t="str">
        <x:v>Hair Food Aloe Vera Feuchtigkeits-Spülung</x:v>
      </x:c>
      <x:c r="B26" s="23" t="str">
        <x:v>secondary_focus</x:v>
      </x:c>
      <x:c r="C26" s="23" t="str">
        <x:v>smoothing | curl_support</x:v>
      </x:c>
      <x:c r="D26" s="23" t="str">
        <x:v>detangling | shine</x:v>
      </x:c>
      <x:c r="E26" s="23" t="n">
        <x:f>IF(C26=D26,1,0)</x:f>
        <x:v>0</x:v>
      </x:c>
      <x:c r="F26" s="23" t="str">
        <x:v>Detangling is already primary; smoothing and curl support are the two distinct retained secondary routes.</x:v>
      </x:c>
      <x:c r="G26" s="23" t="str">
        <x:v>accepted_focus_judgment</x:v>
      </x:c>
      <x:c r="H26" s="23" t="str">
        <x:v>Keep visible for Nick review</x:v>
      </x:c>
    </x:row>
    <x:row r="27">
      <x:c r="A27" s="23" t="str">
        <x:v>Hair Food Aloe Vera Feuchtigkeits-Spülung</x:v>
      </x:c>
      <x:c r="B27" s="23" t="str">
        <x:v>usage_role</x:v>
      </x:c>
      <x:c r="C27" s="23" t="str">
        <x:v>regular</x:v>
      </x:c>
      <x:c r="D27" s="23" t="str">
        <x:v>regular</x:v>
      </x:c>
      <x:c r="E27" s="23" t="n">
        <x:f>IF(C27=D27,1,0)</x:f>
        <x:v>1</x:v>
      </x:c>
      <x:c r="F27" s="23" t="str"/>
      <x:c r="G27" s="23" t="str"/>
      <x:c r="H27" s="23" t="str"/>
    </x:row>
    <x:row r="28">
      <x:c r="A28" s="23" t="str">
        <x:v>Hair Food Aloe Vera Feuchtigkeits-Spülung</x:v>
      </x:c>
      <x:c r="B28" s="23" t="str">
        <x:v>hair_thickness_fit</x:v>
      </x:c>
      <x:c r="C28" s="23" t="str">
        <x:v>medium | coarse</x:v>
      </x:c>
      <x:c r="D28" s="23" t="str">
        <x:v>medium | coarse</x:v>
      </x:c>
      <x:c r="E28" s="23" t="n">
        <x:f>IF(C28=D28,1,0)</x:f>
        <x:v>1</x:v>
      </x:c>
      <x:c r="F28" s="23" t="str"/>
      <x:c r="G28" s="23" t="str"/>
      <x:c r="H28" s="23" t="str"/>
    </x:row>
    <x:row r="29">
      <x:c r="A29" s="23" t="str">
        <x:v>Hair Food Aloe Vera Feuchtigkeits-Spülung</x:v>
      </x:c>
      <x:c r="B29" s="23" t="str">
        <x:v>damage_fit</x:v>
      </x:c>
      <x:c r="C29" s="23" t="str">
        <x:v>moderately_damaged | highly_damaged</x:v>
      </x:c>
      <x:c r="D29" s="23" t="str">
        <x:v>moderately_damaged | highly_damaged</x:v>
      </x:c>
      <x:c r="E29" s="23" t="n">
        <x:f>IF(C29=D29,1,0)</x:f>
        <x:v>1</x:v>
      </x:c>
      <x:c r="F29" s="23" t="str"/>
      <x:c r="G29" s="23" t="str"/>
      <x:c r="H29" s="23" t="str"/>
    </x:row>
    <x:row r="30">
      <x:c r="A30" s="23" t="str">
        <x:v>Hair Food Aloe Vera Feuchtigkeits-Spülung</x:v>
      </x:c>
      <x:c r="B30" s="23" t="str">
        <x:v>texture_fit</x:v>
      </x:c>
      <x:c r="C30" s="23" t="str">
        <x:v>wavy | curly | coily</x:v>
      </x:c>
      <x:c r="D30" s="23" t="str">
        <x:v>wavy | curly | coily</x:v>
      </x:c>
      <x:c r="E30" s="23" t="n">
        <x:f>IF(C30=D30,1,0)</x:f>
        <x:v>1</x:v>
      </x:c>
      <x:c r="F30" s="23" t="str"/>
      <x:c r="G30" s="23" t="str"/>
      <x:c r="H30" s="23" t="str"/>
    </x:row>
    <x:row r="31">
      <x:c r="A31" s="23" t="str">
        <x:v>Hair Food Aloe Vera Feuchtigkeits-Spülung</x:v>
      </x:c>
      <x:c r="B31" s="23" t="str">
        <x:v>scalp_application_fit</x:v>
      </x:c>
      <x:c r="C31" s="23" t="str">
        <x:v>avoid_roots</x:v>
      </x:c>
      <x:c r="D31" s="23" t="str">
        <x:v>avoid_roots</x:v>
      </x:c>
      <x:c r="E31" s="23" t="n">
        <x:f>IF(C31=D31,1,0)</x:f>
        <x:v>1</x:v>
      </x:c>
      <x:c r="F31" s="23" t="str"/>
      <x:c r="G31" s="23" t="str"/>
      <x:c r="H31" s="23" t="str"/>
    </x:row>
    <x:row r="32">
      <x:c r="A32" s="23" t="str">
        <x:v>Volume Victory Conditioner</x:v>
      </x:c>
      <x:c r="B32" s="23" t="str">
        <x:v>conditioning_level</x:v>
      </x:c>
      <x:c r="C32" s="23" t="str">
        <x:v>high</x:v>
      </x:c>
      <x:c r="D32" s="23" t="str">
        <x:v>high</x:v>
      </x:c>
      <x:c r="E32" s="23" t="n">
        <x:f>IF(C32=D32,1,0)</x:f>
        <x:v>1</x:v>
      </x:c>
      <x:c r="F32" s="23" t="str"/>
      <x:c r="G32" s="23" t="str"/>
      <x:c r="H32" s="23" t="str"/>
    </x:row>
    <x:row r="33">
      <x:c r="A33" s="23" t="str">
        <x:v>Volume Victory Conditioner</x:v>
      </x:c>
      <x:c r="B33" s="23" t="str">
        <x:v>weight_potential</x:v>
      </x:c>
      <x:c r="C33" s="23" t="str">
        <x:v>high</x:v>
      </x:c>
      <x:c r="D33" s="23" t="str">
        <x:v>high</x:v>
      </x:c>
      <x:c r="E33" s="23" t="n">
        <x:f>IF(C33=D33,1,0)</x:f>
        <x:v>1</x:v>
      </x:c>
      <x:c r="F33" s="23" t="str"/>
      <x:c r="G33" s="23" t="str"/>
      <x:c r="H33" s="23" t="str"/>
    </x:row>
    <x:row r="34">
      <x:c r="A34" s="23" t="str">
        <x:v>Volume Victory Conditioner</x:v>
      </x:c>
      <x:c r="B34" s="23" t="str">
        <x:v>primary_focus</x:v>
      </x:c>
      <x:c r="C34" s="23" t="str">
        <x:v>repair</x:v>
      </x:c>
      <x:c r="D34" s="23" t="str">
        <x:v>smoothing</x:v>
      </x:c>
      <x:c r="E34" s="23" t="n">
        <x:f>IF(C34=D34,1,0)</x:f>
        <x:v>0</x:v>
      </x:c>
      <x:c r="F34" s="23" t="str">
        <x:v>The separate temporary-film route supports repair as the accepted primary, capped below structural repair; smoothing-first remains plausible.</x:v>
      </x:c>
      <x:c r="G34" s="23" t="str">
        <x:v>accepted_focus_judgment</x:v>
      </x:c>
      <x:c r="H34" s="23" t="str">
        <x:v>Keep visible for Nick review</x:v>
      </x:c>
    </x:row>
    <x:row r="35">
      <x:c r="A35" s="23" t="str">
        <x:v>Volume Victory Conditioner</x:v>
      </x:c>
      <x:c r="B35" s="23" t="str">
        <x:v>secondary_focus</x:v>
      </x:c>
      <x:c r="C35" s="23" t="str">
        <x:v>smoothing | shine</x:v>
      </x:c>
      <x:c r="D35" s="23" t="str">
        <x:v>shine | repair</x:v>
      </x:c>
      <x:c r="E35" s="23" t="n">
        <x:f>IF(C35=D35,1,0)</x:f>
        <x:v>0</x:v>
      </x:c>
      <x:c r="F35" s="23" t="str">
        <x:v>Repair is already primary; smoothing and shine are the two distinct secondary routes.</x:v>
      </x:c>
      <x:c r="G35" s="23" t="str">
        <x:v>accepted_focus_judgment</x:v>
      </x:c>
      <x:c r="H35" s="23" t="str">
        <x:v>Keep visible for Nick review</x:v>
      </x:c>
    </x:row>
    <x:row r="36">
      <x:c r="A36" s="23" t="str">
        <x:v>Volume Victory Conditioner</x:v>
      </x:c>
      <x:c r="B36" s="23" t="str">
        <x:v>usage_role</x:v>
      </x:c>
      <x:c r="C36" s="23" t="str">
        <x:v>regular</x:v>
      </x:c>
      <x:c r="D36" s="23" t="str">
        <x:v>regular</x:v>
      </x:c>
      <x:c r="E36" s="23" t="n">
        <x:f>IF(C36=D36,1,0)</x:f>
        <x:v>1</x:v>
      </x:c>
      <x:c r="F36" s="23" t="str"/>
      <x:c r="G36" s="23" t="str"/>
      <x:c r="H36" s="23" t="str"/>
    </x:row>
    <x:row r="37">
      <x:c r="A37" s="23" t="str">
        <x:v>Volume Victory Conditioner</x:v>
      </x:c>
      <x:c r="B37" s="23" t="str">
        <x:v>hair_thickness_fit</x:v>
      </x:c>
      <x:c r="C37" s="23" t="str">
        <x:v>medium | coarse</x:v>
      </x:c>
      <x:c r="D37" s="23" t="str">
        <x:v>medium | coarse</x:v>
      </x:c>
      <x:c r="E37" s="23" t="n">
        <x:f>IF(C37=D37,1,0)</x:f>
        <x:v>1</x:v>
      </x:c>
      <x:c r="F37" s="23" t="str"/>
      <x:c r="G37" s="23" t="str"/>
      <x:c r="H37" s="23" t="str"/>
    </x:row>
    <x:row r="38">
      <x:c r="A38" s="23" t="str">
        <x:v>Volume Victory Conditioner</x:v>
      </x:c>
      <x:c r="B38" s="23" t="str">
        <x:v>damage_fit</x:v>
      </x:c>
      <x:c r="C38" s="23" t="str">
        <x:v>moderately_damaged | highly_damaged</x:v>
      </x:c>
      <x:c r="D38" s="23" t="str">
        <x:v>moderately_damaged | highly_damaged</x:v>
      </x:c>
      <x:c r="E38" s="23" t="n">
        <x:f>IF(C38=D38,1,0)</x:f>
        <x:v>1</x:v>
      </x:c>
      <x:c r="F38" s="23" t="str"/>
      <x:c r="G38" s="23" t="str"/>
      <x:c r="H38" s="23" t="str"/>
    </x:row>
    <x:row r="39">
      <x:c r="A39" s="23" t="str">
        <x:v>Volume Victory Conditioner</x:v>
      </x:c>
      <x:c r="B39" s="23" t="str">
        <x:v>texture_fit</x:v>
      </x:c>
      <x:c r="C39" s="23" t="str">
        <x:v>wavy | curly | coily</x:v>
      </x:c>
      <x:c r="D39" s="23" t="str">
        <x:v>wavy | curly | coily</x:v>
      </x:c>
      <x:c r="E39" s="23" t="n">
        <x:f>IF(C39=D39,1,0)</x:f>
        <x:v>1</x:v>
      </x:c>
      <x:c r="F39" s="23" t="str"/>
      <x:c r="G39" s="23" t="str"/>
      <x:c r="H39" s="23" t="str"/>
    </x:row>
    <x:row r="40">
      <x:c r="A40" s="23" t="str">
        <x:v>Volume Victory Conditioner</x:v>
      </x:c>
      <x:c r="B40" s="23" t="str">
        <x:v>scalp_application_fit</x:v>
      </x:c>
      <x:c r="C40" s="23" t="str">
        <x:v>avoid_roots</x:v>
      </x:c>
      <x:c r="D40" s="23" t="str">
        <x:v>avoid_roots</x:v>
      </x:c>
      <x:c r="E40" s="23" t="n">
        <x:f>IF(C40=D40,1,0)</x:f>
        <x:v>1</x:v>
      </x:c>
      <x:c r="F40" s="23" t="str"/>
      <x:c r="G40" s="23" t="str"/>
      <x:c r="H40" s="23" t="str"/>
    </x:row>
    <x:row r="41">
      <x:c r="A41" s="23" t="str">
        <x:v>Frizz Ease Wunder-Reparatur Conditioner</x:v>
      </x:c>
      <x:c r="B41" s="23" t="str">
        <x:v>conditioning_level</x:v>
      </x:c>
      <x:c r="C41" s="23" t="str">
        <x:v>high</x:v>
      </x:c>
      <x:c r="D41" s="23" t="str">
        <x:v>high</x:v>
      </x:c>
      <x:c r="E41" s="23" t="n">
        <x:f>IF(C41=D41,1,0)</x:f>
        <x:v>1</x:v>
      </x:c>
      <x:c r="F41" s="23" t="str"/>
      <x:c r="G41" s="23" t="str"/>
      <x:c r="H41" s="23" t="str"/>
    </x:row>
    <x:row r="42">
      <x:c r="A42" s="23" t="str">
        <x:v>Frizz Ease Wunder-Reparatur Conditioner</x:v>
      </x:c>
      <x:c r="B42" s="23" t="str">
        <x:v>weight_potential</x:v>
      </x:c>
      <x:c r="C42" s="23" t="str">
        <x:v>high</x:v>
      </x:c>
      <x:c r="D42" s="23" t="str">
        <x:v>high</x:v>
      </x:c>
      <x:c r="E42" s="23" t="n">
        <x:f>IF(C42=D42,1,0)</x:f>
        <x:v>1</x:v>
      </x:c>
      <x:c r="F42" s="23" t="str"/>
      <x:c r="G42" s="23" t="str"/>
      <x:c r="H42" s="23" t="str"/>
    </x:row>
    <x:row r="43">
      <x:c r="A43" s="23" t="str">
        <x:v>Frizz Ease Wunder-Reparatur Conditioner</x:v>
      </x:c>
      <x:c r="B43" s="23" t="str">
        <x:v>primary_focus</x:v>
      </x:c>
      <x:c r="C43" s="23" t="str">
        <x:v>smoothing</x:v>
      </x:c>
      <x:c r="D43" s="23" t="str">
        <x:v>smoothing</x:v>
      </x:c>
      <x:c r="E43" s="23" t="n">
        <x:f>IF(C43=D43,1,0)</x:f>
        <x:v>1</x:v>
      </x:c>
      <x:c r="F43" s="23" t="str"/>
      <x:c r="G43" s="23" t="str"/>
      <x:c r="H43" s="23" t="str"/>
    </x:row>
    <x:row r="44">
      <x:c r="A44" s="23" t="str">
        <x:v>Frizz Ease Wunder-Reparatur Conditioner</x:v>
      </x:c>
      <x:c r="B44" s="23" t="str">
        <x:v>secondary_focus</x:v>
      </x:c>
      <x:c r="C44" s="23" t="str">
        <x:v>detangling</x:v>
      </x:c>
      <x:c r="D44" s="23" t="str">
        <x:v>detangling | shine</x:v>
      </x:c>
      <x:c r="E44" s="23" t="n">
        <x:f>IF(C44=D44,1,0)</x:f>
        <x:v>0</x:v>
      </x:c>
      <x:c r="F44" s="23" t="str">
        <x:v>Shine is moderate and shares the smoothing/lubrication mechanism, so it is not counted as an additional distinct focus.</x:v>
      </x:c>
      <x:c r="G44" s="23" t="str">
        <x:v>accepted_focus_judgment</x:v>
      </x:c>
      <x:c r="H44" s="23" t="str">
        <x:v>Keep visible for Nick review</x:v>
      </x:c>
    </x:row>
    <x:row r="45">
      <x:c r="A45" s="23" t="str">
        <x:v>Frizz Ease Wunder-Reparatur Conditioner</x:v>
      </x:c>
      <x:c r="B45" s="23" t="str">
        <x:v>usage_role</x:v>
      </x:c>
      <x:c r="C45" s="23" t="str">
        <x:v>frequent</x:v>
      </x:c>
      <x:c r="D45" s="23" t="str">
        <x:v>frequent</x:v>
      </x:c>
      <x:c r="E45" s="23" t="n">
        <x:f>IF(C45=D45,1,0)</x:f>
        <x:v>1</x:v>
      </x:c>
      <x:c r="F45" s="23" t="str"/>
      <x:c r="G45" s="23" t="str"/>
      <x:c r="H45" s="23" t="str"/>
    </x:row>
    <x:row r="46">
      <x:c r="A46" s="23" t="str">
        <x:v>Frizz Ease Wunder-Reparatur Conditioner</x:v>
      </x:c>
      <x:c r="B46" s="23" t="str">
        <x:v>hair_thickness_fit</x:v>
      </x:c>
      <x:c r="C46" s="23" t="str">
        <x:v>medium | coarse</x:v>
      </x:c>
      <x:c r="D46" s="23" t="str">
        <x:v>medium | coarse</x:v>
      </x:c>
      <x:c r="E46" s="23" t="n">
        <x:f>IF(C46=D46,1,0)</x:f>
        <x:v>1</x:v>
      </x:c>
      <x:c r="F46" s="23" t="str"/>
      <x:c r="G46" s="23" t="str"/>
      <x:c r="H46" s="23" t="str"/>
    </x:row>
    <x:row r="47">
      <x:c r="A47" s="23" t="str">
        <x:v>Frizz Ease Wunder-Reparatur Conditioner</x:v>
      </x:c>
      <x:c r="B47" s="23" t="str">
        <x:v>damage_fit</x:v>
      </x:c>
      <x:c r="C47" s="23" t="str">
        <x:v>moderately_damaged | highly_damaged</x:v>
      </x:c>
      <x:c r="D47" s="23" t="str">
        <x:v>moderately_damaged | highly_damaged</x:v>
      </x:c>
      <x:c r="E47" s="23" t="n">
        <x:f>IF(C47=D47,1,0)</x:f>
        <x:v>1</x:v>
      </x:c>
      <x:c r="F47" s="23" t="str"/>
      <x:c r="G47" s="23" t="str"/>
      <x:c r="H47" s="23" t="str"/>
    </x:row>
    <x:row r="48">
      <x:c r="A48" s="23" t="str">
        <x:v>Frizz Ease Wunder-Reparatur Conditioner</x:v>
      </x:c>
      <x:c r="B48" s="23" t="str">
        <x:v>texture_fit</x:v>
      </x:c>
      <x:c r="C48" s="23" t="str">
        <x:v>wavy | curly | coily</x:v>
      </x:c>
      <x:c r="D48" s="23" t="str">
        <x:v>wavy | curly | coily</x:v>
      </x:c>
      <x:c r="E48" s="23" t="n">
        <x:f>IF(C48=D48,1,0)</x:f>
        <x:v>1</x:v>
      </x:c>
      <x:c r="F48" s="23" t="str"/>
      <x:c r="G48" s="23" t="str"/>
      <x:c r="H48" s="23" t="str"/>
    </x:row>
    <x:row r="49">
      <x:c r="A49" s="23" t="str">
        <x:v>Frizz Ease Wunder-Reparatur Conditioner</x:v>
      </x:c>
      <x:c r="B49" s="23" t="str">
        <x:v>scalp_application_fit</x:v>
      </x:c>
      <x:c r="C49" s="23" t="str">
        <x:v>avoid_roots</x:v>
      </x:c>
      <x:c r="D49" s="23" t="str">
        <x:v>avoid_roots</x:v>
      </x:c>
      <x:c r="E49" s="23" t="n">
        <x:f>IF(C49=D49,1,0)</x:f>
        <x:v>1</x:v>
      </x:c>
      <x:c r="F49" s="23" t="str"/>
      <x:c r="G49" s="23" t="str"/>
      <x:c r="H49" s="23" t="str"/>
    </x:row>
    <x:row r="50">
      <x:c r="A50" s="23" t="str">
        <x:v>Panthenol + Reparatur 2in1 Kur &amp; Spülung</x:v>
      </x:c>
      <x:c r="B50" s="23" t="str">
        <x:v>conditioning_level</x:v>
      </x:c>
      <x:c r="C50" s="23" t="str">
        <x:v>high</x:v>
      </x:c>
      <x:c r="D50" s="23" t="str">
        <x:v>high</x:v>
      </x:c>
      <x:c r="E50" s="23" t="n">
        <x:f>IF(C50=D50,1,0)</x:f>
        <x:v>1</x:v>
      </x:c>
      <x:c r="F50" s="23" t="str"/>
      <x:c r="G50" s="23" t="str"/>
      <x:c r="H50" s="23" t="str"/>
    </x:row>
    <x:row r="51">
      <x:c r="A51" s="23" t="str">
        <x:v>Panthenol + Reparatur 2in1 Kur &amp; Spülung</x:v>
      </x:c>
      <x:c r="B51" s="23" t="str">
        <x:v>weight_potential</x:v>
      </x:c>
      <x:c r="C51" s="23" t="str">
        <x:v>moderate</x:v>
      </x:c>
      <x:c r="D51" s="23" t="str">
        <x:v>moderate</x:v>
      </x:c>
      <x:c r="E51" s="23" t="n">
        <x:f>IF(C51=D51,1,0)</x:f>
        <x:v>1</x:v>
      </x:c>
      <x:c r="F51" s="23" t="str"/>
      <x:c r="G51" s="23" t="str"/>
      <x:c r="H51" s="23" t="str"/>
    </x:row>
    <x:row r="52">
      <x:c r="A52" s="23" t="str">
        <x:v>Panthenol + Reparatur 2in1 Kur &amp; Spülung</x:v>
      </x:c>
      <x:c r="B52" s="23" t="str">
        <x:v>primary_focus</x:v>
      </x:c>
      <x:c r="C52" s="23" t="str">
        <x:v>detangling</x:v>
      </x:c>
      <x:c r="D52" s="23" t="str">
        <x:v>detangling</x:v>
      </x:c>
      <x:c r="E52" s="23" t="n">
        <x:f>IF(C52=D52,1,0)</x:f>
        <x:v>1</x:v>
      </x:c>
      <x:c r="F52" s="23" t="str"/>
      <x:c r="G52" s="23" t="str"/>
      <x:c r="H52" s="23" t="str"/>
    </x:row>
    <x:row r="53">
      <x:c r="A53" s="23" t="str">
        <x:v>Panthenol + Reparatur 2in1 Kur &amp; Spülung</x:v>
      </x:c>
      <x:c r="B53" s="23" t="str">
        <x:v>secondary_focus</x:v>
      </x:c>
      <x:c r="C53" s="23" t="str">
        <x:v>smoothing</x:v>
      </x:c>
      <x:c r="D53" s="23" t="str">
        <x:v>smoothing | shine</x:v>
      </x:c>
      <x:c r="E53" s="23" t="n">
        <x:f>IF(C53=D53,1,0)</x:f>
        <x:v>0</x:v>
      </x:c>
      <x:c r="F53" s="23" t="str">
        <x:v>Shine is moderate and not distinct enough from the smoothing route to occupy a second slot.</x:v>
      </x:c>
      <x:c r="G53" s="23" t="str">
        <x:v>accepted_focus_judgment</x:v>
      </x:c>
      <x:c r="H53" s="23" t="str">
        <x:v>Keep visible for Nick review</x:v>
      </x:c>
    </x:row>
    <x:row r="54">
      <x:c r="A54" s="23" t="str">
        <x:v>Panthenol + Reparatur 2in1 Kur &amp; Spülung</x:v>
      </x:c>
      <x:c r="B54" s="23" t="str">
        <x:v>usage_role</x:v>
      </x:c>
      <x:c r="C54" s="23" t="str">
        <x:v>regular</x:v>
      </x:c>
      <x:c r="D54" s="23" t="str">
        <x:v>regular</x:v>
      </x:c>
      <x:c r="E54" s="23" t="n">
        <x:f>IF(C54=D54,1,0)</x:f>
        <x:v>1</x:v>
      </x:c>
      <x:c r="F54" s="23" t="str"/>
      <x:c r="G54" s="23" t="str"/>
      <x:c r="H54" s="23" t="str"/>
    </x:row>
    <x:row r="55">
      <x:c r="A55" s="23" t="str">
        <x:v>Panthenol + Reparatur 2in1 Kur &amp; Spülung</x:v>
      </x:c>
      <x:c r="B55" s="23" t="str">
        <x:v>hair_thickness_fit</x:v>
      </x:c>
      <x:c r="C55" s="23" t="str">
        <x:v>fine | medium | coarse</x:v>
      </x:c>
      <x:c r="D55" s="23" t="str">
        <x:v>fine | medium | coarse</x:v>
      </x:c>
      <x:c r="E55" s="23" t="n">
        <x:f>IF(C55=D55,1,0)</x:f>
        <x:v>1</x:v>
      </x:c>
      <x:c r="F55" s="23" t="str"/>
      <x:c r="G55" s="23" t="str"/>
      <x:c r="H55" s="23" t="str"/>
    </x:row>
    <x:row r="56">
      <x:c r="A56" s="23" t="str">
        <x:v>Panthenol + Reparatur 2in1 Kur &amp; Spülung</x:v>
      </x:c>
      <x:c r="B56" s="23" t="str">
        <x:v>damage_fit</x:v>
      </x:c>
      <x:c r="C56" s="23" t="str">
        <x:v>moderately_damaged | highly_damaged</x:v>
      </x:c>
      <x:c r="D56" s="23" t="str">
        <x:v>moderately_damaged | highly_damaged</x:v>
      </x:c>
      <x:c r="E56" s="23" t="n">
        <x:f>IF(C56=D56,1,0)</x:f>
        <x:v>1</x:v>
      </x:c>
      <x:c r="F56" s="23" t="str"/>
      <x:c r="G56" s="23" t="str"/>
      <x:c r="H56" s="23" t="str"/>
    </x:row>
    <x:row r="57">
      <x:c r="A57" s="23" t="str">
        <x:v>Panthenol + Reparatur 2in1 Kur &amp; Spülung</x:v>
      </x:c>
      <x:c r="B57" s="23" t="str">
        <x:v>texture_fit</x:v>
      </x:c>
      <x:c r="C57" s="23" t="str">
        <x:v>straight | wavy | curly</x:v>
      </x:c>
      <x:c r="D57" s="23" t="str">
        <x:v>straight | wavy | curly</x:v>
      </x:c>
      <x:c r="E57" s="23" t="n">
        <x:f>IF(C57=D57,1,0)</x:f>
        <x:v>1</x:v>
      </x:c>
      <x:c r="F57" s="23" t="str"/>
      <x:c r="G57" s="23" t="str"/>
      <x:c r="H57" s="23" t="str"/>
    </x:row>
    <x:row r="58">
      <x:c r="A58" s="23" t="str">
        <x:v>Panthenol + Reparatur 2in1 Kur &amp; Spülung</x:v>
      </x:c>
      <x:c r="B58" s="23" t="str">
        <x:v>scalp_application_fit</x:v>
      </x:c>
      <x:c r="C58" s="23" t="str">
        <x:v>conditional</x:v>
      </x:c>
      <x:c r="D58" s="23" t="str">
        <x:v>conditional</x:v>
      </x:c>
      <x:c r="E58" s="23" t="n">
        <x:f>IF(C58=D58,1,0)</x:f>
        <x:v>1</x:v>
      </x:c>
      <x:c r="F58" s="23" t="str"/>
      <x:c r="G58" s="23" t="str"/>
      <x:c r="H58" s="23" t="str"/>
    </x:row>
    <x:row r="59">
      <x:c r="A59" s="23" t="str">
        <x:v>Biotin &amp; Collagen Conditioner</x:v>
      </x:c>
      <x:c r="B59" s="23" t="str">
        <x:v>conditioning_level</x:v>
      </x:c>
      <x:c r="C59" s="23" t="str">
        <x:v>high</x:v>
      </x:c>
      <x:c r="D59" s="23" t="str">
        <x:v>high</x:v>
      </x:c>
      <x:c r="E59" s="23" t="n">
        <x:f>IF(C59=D59,1,0)</x:f>
        <x:v>1</x:v>
      </x:c>
      <x:c r="F59" s="23" t="str"/>
      <x:c r="G59" s="23" t="str"/>
      <x:c r="H59" s="23" t="str"/>
    </x:row>
    <x:row r="60">
      <x:c r="A60" s="23" t="str">
        <x:v>Biotin &amp; Collagen Conditioner</x:v>
      </x:c>
      <x:c r="B60" s="23" t="str">
        <x:v>weight_potential</x:v>
      </x:c>
      <x:c r="C60" s="23" t="str">
        <x:v>high</x:v>
      </x:c>
      <x:c r="D60" s="23" t="str">
        <x:v>high</x:v>
      </x:c>
      <x:c r="E60" s="23" t="n">
        <x:f>IF(C60=D60,1,0)</x:f>
        <x:v>1</x:v>
      </x:c>
      <x:c r="F60" s="23" t="str"/>
      <x:c r="G60" s="23" t="str"/>
      <x:c r="H60" s="23" t="str"/>
    </x:row>
    <x:row r="61">
      <x:c r="A61" s="23" t="str">
        <x:v>Biotin &amp; Collagen Conditioner</x:v>
      </x:c>
      <x:c r="B61" s="23" t="str">
        <x:v>primary_focus</x:v>
      </x:c>
      <x:c r="C61" s="23" t="str">
        <x:v>repair</x:v>
      </x:c>
      <x:c r="D61" s="23" t="str">
        <x:v>smoothing</x:v>
      </x:c>
      <x:c r="E61" s="23" t="n">
        <x:f>IF(C61=D61,1,0)</x:f>
        <x:v>0</x:v>
      </x:c>
      <x:c r="F61" s="23" t="str">
        <x:v>The silicone plus hydrolyzed-collagen temporary-film route is distinct enough for repair as the accepted primary; smoothing-first remains plausible.</x:v>
      </x:c>
      <x:c r="G61" s="23" t="str">
        <x:v>accepted_focus_judgment</x:v>
      </x:c>
      <x:c r="H61" s="23" t="str">
        <x:v>Keep visible for Nick review</x:v>
      </x:c>
    </x:row>
    <x:row r="62">
      <x:c r="A62" s="23" t="str">
        <x:v>Biotin &amp; Collagen Conditioner</x:v>
      </x:c>
      <x:c r="B62" s="23" t="str">
        <x:v>secondary_focus</x:v>
      </x:c>
      <x:c r="C62" s="23" t="str">
        <x:v>smoothing | shine</x:v>
      </x:c>
      <x:c r="D62" s="23" t="str">
        <x:v>shine | repair</x:v>
      </x:c>
      <x:c r="E62" s="23" t="n">
        <x:f>IF(C62=D62,1,0)</x:f>
        <x:v>0</x:v>
      </x:c>
      <x:c r="F62" s="23" t="str">
        <x:v>Repair is already primary; smoothing and shine remain the distinct secondary routes.</x:v>
      </x:c>
      <x:c r="G62" s="23" t="str">
        <x:v>accepted_focus_judgment</x:v>
      </x:c>
      <x:c r="H62" s="23" t="str">
        <x:v>Keep visible for Nick review</x:v>
      </x:c>
    </x:row>
    <x:row r="63">
      <x:c r="A63" s="23" t="str">
        <x:v>Biotin &amp; Collagen Conditioner</x:v>
      </x:c>
      <x:c r="B63" s="23" t="str">
        <x:v>usage_role</x:v>
      </x:c>
      <x:c r="C63" s="23" t="str">
        <x:v>regular</x:v>
      </x:c>
      <x:c r="D63" s="23" t="str">
        <x:v>regular</x:v>
      </x:c>
      <x:c r="E63" s="23" t="n">
        <x:f>IF(C63=D63,1,0)</x:f>
        <x:v>1</x:v>
      </x:c>
      <x:c r="F63" s="23" t="str"/>
      <x:c r="G63" s="23" t="str"/>
      <x:c r="H63" s="23" t="str"/>
    </x:row>
    <x:row r="64">
      <x:c r="A64" s="23" t="str">
        <x:v>Biotin &amp; Collagen Conditioner</x:v>
      </x:c>
      <x:c r="B64" s="23" t="str">
        <x:v>hair_thickness_fit</x:v>
      </x:c>
      <x:c r="C64" s="23" t="str">
        <x:v>medium | coarse</x:v>
      </x:c>
      <x:c r="D64" s="23" t="str">
        <x:v>medium | coarse</x:v>
      </x:c>
      <x:c r="E64" s="23" t="n">
        <x:f>IF(C64=D64,1,0)</x:f>
        <x:v>1</x:v>
      </x:c>
      <x:c r="F64" s="23" t="str"/>
      <x:c r="G64" s="23" t="str"/>
      <x:c r="H64" s="23" t="str"/>
    </x:row>
    <x:row r="65">
      <x:c r="A65" s="23" t="str">
        <x:v>Biotin &amp; Collagen Conditioner</x:v>
      </x:c>
      <x:c r="B65" s="23" t="str">
        <x:v>damage_fit</x:v>
      </x:c>
      <x:c r="C65" s="23" t="str">
        <x:v>moderately_damaged | highly_damaged</x:v>
      </x:c>
      <x:c r="D65" s="23" t="str">
        <x:v>moderately_damaged | highly_damaged</x:v>
      </x:c>
      <x:c r="E65" s="23" t="n">
        <x:f>IF(C65=D65,1,0)</x:f>
        <x:v>1</x:v>
      </x:c>
      <x:c r="F65" s="23" t="str"/>
      <x:c r="G65" s="23" t="str"/>
      <x:c r="H65" s="23" t="str"/>
    </x:row>
    <x:row r="66">
      <x:c r="A66" s="23" t="str">
        <x:v>Biotin &amp; Collagen Conditioner</x:v>
      </x:c>
      <x:c r="B66" s="23" t="str">
        <x:v>texture_fit</x:v>
      </x:c>
      <x:c r="C66" s="23" t="str">
        <x:v>wavy | curly | coily</x:v>
      </x:c>
      <x:c r="D66" s="23" t="str">
        <x:v>wavy | curly | coily</x:v>
      </x:c>
      <x:c r="E66" s="23" t="n">
        <x:f>IF(C66=D66,1,0)</x:f>
        <x:v>1</x:v>
      </x:c>
      <x:c r="F66" s="23" t="str"/>
      <x:c r="G66" s="23" t="str"/>
      <x:c r="H66" s="23" t="str"/>
    </x:row>
    <x:row r="67">
      <x:c r="A67" s="23" t="str">
        <x:v>Biotin &amp; Collagen Conditioner</x:v>
      </x:c>
      <x:c r="B67" s="23" t="str">
        <x:v>scalp_application_fit</x:v>
      </x:c>
      <x:c r="C67" s="23" t="str">
        <x:v>conditional</x:v>
      </x:c>
      <x:c r="D67" s="23" t="str">
        <x:v>conditional</x:v>
      </x:c>
      <x:c r="E67" s="23" t="n">
        <x:f>IF(C67=D67,1,0)</x:f>
        <x:v>1</x:v>
      </x:c>
      <x:c r="F67" s="23" t="str"/>
      <x:c r="G67" s="23" t="str"/>
      <x:c r="H67" s="23" t="str"/>
    </x:row>
    <x:row r="68">
      <x:c r="A68" s="23" t="str">
        <x:v>Conditioner Cream</x:v>
      </x:c>
      <x:c r="B68" s="23" t="str">
        <x:v>conditioning_level</x:v>
      </x:c>
      <x:c r="C68" s="23" t="str">
        <x:v>high</x:v>
      </x:c>
      <x:c r="D68" s="23" t="str">
        <x:v>high</x:v>
      </x:c>
      <x:c r="E68" s="23" t="n">
        <x:f>IF(C68=D68,1,0)</x:f>
        <x:v>1</x:v>
      </x:c>
      <x:c r="F68" s="23" t="str"/>
      <x:c r="G68" s="23" t="str"/>
      <x:c r="H68" s="23" t="str"/>
    </x:row>
    <x:row r="69">
      <x:c r="A69" s="23" t="str">
        <x:v>Conditioner Cream</x:v>
      </x:c>
      <x:c r="B69" s="23" t="str">
        <x:v>weight_potential</x:v>
      </x:c>
      <x:c r="C69" s="23" t="str">
        <x:v>high</x:v>
      </x:c>
      <x:c r="D69" s="23" t="str">
        <x:v>high</x:v>
      </x:c>
      <x:c r="E69" s="23" t="n">
        <x:f>IF(C69=D69,1,0)</x:f>
        <x:v>1</x:v>
      </x:c>
      <x:c r="F69" s="23" t="str"/>
      <x:c r="G69" s="23" t="str"/>
      <x:c r="H69" s="23" t="str"/>
    </x:row>
    <x:row r="70">
      <x:c r="A70" s="23" t="str">
        <x:v>Conditioner Cream</x:v>
      </x:c>
      <x:c r="B70" s="23" t="str">
        <x:v>primary_focus</x:v>
      </x:c>
      <x:c r="C70" s="23" t="str">
        <x:v>curl_support</x:v>
      </x:c>
      <x:c r="D70" s="23" t="str">
        <x:v>curl_support</x:v>
      </x:c>
      <x:c r="E70" s="23" t="n">
        <x:f>IF(C70=D70,1,0)</x:f>
        <x:v>1</x:v>
      </x:c>
      <x:c r="F70" s="23" t="str"/>
      <x:c r="G70" s="23" t="str"/>
      <x:c r="H70" s="23" t="str"/>
    </x:row>
    <x:row r="71">
      <x:c r="A71" s="23" t="str">
        <x:v>Conditioner Cream</x:v>
      </x:c>
      <x:c r="B71" s="23" t="str">
        <x:v>secondary_focus</x:v>
      </x:c>
      <x:c r="C71" s="23" t="str">
        <x:v>detangling | smoothing</x:v>
      </x:c>
      <x:c r="D71" s="23" t="str">
        <x:v>smoothing | detangling</x:v>
      </x:c>
      <x:c r="E71" s="23" t="n">
        <x:f>IF(C71=D71,1,0)</x:f>
        <x:v>0</x:v>
      </x:c>
      <x:c r="F71" s="23" t="str"/>
      <x:c r="G71" s="23" t="str"/>
      <x:c r="H71" s="23" t="str"/>
    </x:row>
    <x:row r="72">
      <x:c r="A72" s="23" t="str">
        <x:v>Conditioner Cream</x:v>
      </x:c>
      <x:c r="B72" s="23" t="str">
        <x:v>usage_role</x:v>
      </x:c>
      <x:c r="C72" s="23" t="str">
        <x:v>regular</x:v>
      </x:c>
      <x:c r="D72" s="23" t="str">
        <x:v>regular</x:v>
      </x:c>
      <x:c r="E72" s="23" t="n">
        <x:f>IF(C72=D72,1,0)</x:f>
        <x:v>1</x:v>
      </x:c>
      <x:c r="F72" s="23" t="str"/>
      <x:c r="G72" s="23" t="str"/>
      <x:c r="H72" s="23" t="str"/>
    </x:row>
    <x:row r="73">
      <x:c r="A73" s="23" t="str">
        <x:v>Conditioner Cream</x:v>
      </x:c>
      <x:c r="B73" s="23" t="str">
        <x:v>hair_thickness_fit</x:v>
      </x:c>
      <x:c r="C73" s="23" t="str">
        <x:v>medium | coarse</x:v>
      </x:c>
      <x:c r="D73" s="23" t="str">
        <x:v>medium | coarse</x:v>
      </x:c>
      <x:c r="E73" s="23" t="n">
        <x:f>IF(C73=D73,1,0)</x:f>
        <x:v>1</x:v>
      </x:c>
      <x:c r="F73" s="23" t="str"/>
      <x:c r="G73" s="23" t="str"/>
      <x:c r="H73" s="23" t="str"/>
    </x:row>
    <x:row r="74">
      <x:c r="A74" s="23" t="str">
        <x:v>Conditioner Cream</x:v>
      </x:c>
      <x:c r="B74" s="23" t="str">
        <x:v>damage_fit</x:v>
      </x:c>
      <x:c r="C74" s="23" t="str">
        <x:v>moderately_damaged | highly_damaged</x:v>
      </x:c>
      <x:c r="D74" s="23" t="str">
        <x:v>moderately_damaged | highly_damaged</x:v>
      </x:c>
      <x:c r="E74" s="23" t="n">
        <x:f>IF(C74=D74,1,0)</x:f>
        <x:v>1</x:v>
      </x:c>
      <x:c r="F74" s="23" t="str"/>
      <x:c r="G74" s="23" t="str"/>
      <x:c r="H74" s="23" t="str"/>
    </x:row>
    <x:row r="75">
      <x:c r="A75" s="23" t="str">
        <x:v>Conditioner Cream</x:v>
      </x:c>
      <x:c r="B75" s="23" t="str">
        <x:v>texture_fit</x:v>
      </x:c>
      <x:c r="C75" s="23" t="str">
        <x:v>wavy | curly | coily</x:v>
      </x:c>
      <x:c r="D75" s="23" t="str">
        <x:v>wavy | curly | coily</x:v>
      </x:c>
      <x:c r="E75" s="23" t="n">
        <x:f>IF(C75=D75,1,0)</x:f>
        <x:v>1</x:v>
      </x:c>
      <x:c r="F75" s="23" t="str"/>
      <x:c r="G75" s="23" t="str"/>
      <x:c r="H75" s="23" t="str"/>
    </x:row>
    <x:row r="76">
      <x:c r="A76" s="23" t="str">
        <x:v>Conditioner Cream</x:v>
      </x:c>
      <x:c r="B76" s="23" t="str">
        <x:v>scalp_application_fit</x:v>
      </x:c>
      <x:c r="C76" s="23" t="str">
        <x:v>avoid_roots</x:v>
      </x:c>
      <x:c r="D76" s="23" t="str">
        <x:v>avoid_roots</x:v>
      </x:c>
      <x:c r="E76" s="23" t="n">
        <x:f>IF(C76=D76,1,0)</x:f>
        <x:v>1</x:v>
      </x:c>
      <x:c r="F76" s="23" t="str"/>
      <x:c r="G76" s="23" t="str"/>
      <x:c r="H76" s="23" t="str"/>
    </x:row>
    <x:row r="77">
      <x:c r="A77" s="23" t="str">
        <x:v>Colorglow Granatapfel Rose Conditioner</x:v>
      </x:c>
      <x:c r="B77" s="23" t="str">
        <x:v>conditioning_level</x:v>
      </x:c>
      <x:c r="C77" s="23" t="str">
        <x:v>high</x:v>
      </x:c>
      <x:c r="D77" s="23" t="str">
        <x:v>high</x:v>
      </x:c>
      <x:c r="E77" s="23" t="n">
        <x:f>IF(C77=D77,1,0)</x:f>
        <x:v>1</x:v>
      </x:c>
      <x:c r="F77" s="23" t="str"/>
      <x:c r="G77" s="23" t="str"/>
      <x:c r="H77" s="23" t="str"/>
    </x:row>
    <x:row r="78">
      <x:c r="A78" s="23" t="str">
        <x:v>Colorglow Granatapfel Rose Conditioner</x:v>
      </x:c>
      <x:c r="B78" s="23" t="str">
        <x:v>weight_potential</x:v>
      </x:c>
      <x:c r="C78" s="23" t="str">
        <x:v>moderate</x:v>
      </x:c>
      <x:c r="D78" s="23" t="str">
        <x:v>moderate</x:v>
      </x:c>
      <x:c r="E78" s="23" t="n">
        <x:f>IF(C78=D78,1,0)</x:f>
        <x:v>1</x:v>
      </x:c>
      <x:c r="F78" s="23" t="str"/>
      <x:c r="G78" s="23" t="str"/>
      <x:c r="H78" s="23" t="str"/>
    </x:row>
    <x:row r="79">
      <x:c r="A79" s="23" t="str">
        <x:v>Colorglow Granatapfel Rose Conditioner</x:v>
      </x:c>
      <x:c r="B79" s="23" t="str">
        <x:v>primary_focus</x:v>
      </x:c>
      <x:c r="C79" s="23" t="str">
        <x:v>color_care</x:v>
      </x:c>
      <x:c r="D79" s="23" t="str">
        <x:v>color_care</x:v>
      </x:c>
      <x:c r="E79" s="23" t="n">
        <x:f>IF(C79=D79,1,0)</x:f>
        <x:v>1</x:v>
      </x:c>
      <x:c r="F79" s="23" t="str"/>
      <x:c r="G79" s="23" t="str"/>
      <x:c r="H79" s="23" t="str"/>
    </x:row>
    <x:row r="80">
      <x:c r="A80" s="23" t="str">
        <x:v>Colorglow Granatapfel Rose Conditioner</x:v>
      </x:c>
      <x:c r="B80" s="23" t="str">
        <x:v>secondary_focus</x:v>
      </x:c>
      <x:c r="C80" s="23" t="str">
        <x:v>detangling | shine</x:v>
      </x:c>
      <x:c r="D80" s="23" t="str">
        <x:v>detangling | shine</x:v>
      </x:c>
      <x:c r="E80" s="23" t="n">
        <x:f>IF(C80=D80,1,0)</x:f>
        <x:v>1</x:v>
      </x:c>
      <x:c r="F80" s="23" t="str"/>
      <x:c r="G80" s="23" t="str"/>
      <x:c r="H80" s="23" t="str"/>
    </x:row>
    <x:row r="81">
      <x:c r="A81" s="23" t="str">
        <x:v>Colorglow Granatapfel Rose Conditioner</x:v>
      </x:c>
      <x:c r="B81" s="23" t="str">
        <x:v>usage_role</x:v>
      </x:c>
      <x:c r="C81" s="23" t="str">
        <x:v>regular</x:v>
      </x:c>
      <x:c r="D81" s="23" t="str">
        <x:v>regular</x:v>
      </x:c>
      <x:c r="E81" s="23" t="n">
        <x:f>IF(C81=D81,1,0)</x:f>
        <x:v>1</x:v>
      </x:c>
      <x:c r="F81" s="23" t="str"/>
      <x:c r="G81" s="23" t="str"/>
      <x:c r="H81" s="23" t="str"/>
    </x:row>
    <x:row r="82">
      <x:c r="A82" s="23" t="str">
        <x:v>Colorglow Granatapfel Rose Conditioner</x:v>
      </x:c>
      <x:c r="B82" s="23" t="str">
        <x:v>hair_thickness_fit</x:v>
      </x:c>
      <x:c r="C82" s="23" t="str">
        <x:v>fine | medium | coarse</x:v>
      </x:c>
      <x:c r="D82" s="23" t="str">
        <x:v>fine | medium | coarse</x:v>
      </x:c>
      <x:c r="E82" s="23" t="n">
        <x:f>IF(C82=D82,1,0)</x:f>
        <x:v>1</x:v>
      </x:c>
      <x:c r="F82" s="23" t="str"/>
      <x:c r="G82" s="23" t="str"/>
      <x:c r="H82" s="23" t="str"/>
    </x:row>
    <x:row r="83">
      <x:c r="A83" s="23" t="str">
        <x:v>Colorglow Granatapfel Rose Conditioner</x:v>
      </x:c>
      <x:c r="B83" s="23" t="str">
        <x:v>damage_fit</x:v>
      </x:c>
      <x:c r="C83" s="23" t="str">
        <x:v>moderately_damaged | highly_damaged</x:v>
      </x:c>
      <x:c r="D83" s="23" t="str">
        <x:v>moderately_damaged | highly_damaged</x:v>
      </x:c>
      <x:c r="E83" s="23" t="n">
        <x:f>IF(C83=D83,1,0)</x:f>
        <x:v>1</x:v>
      </x:c>
      <x:c r="F83" s="23" t="str"/>
      <x:c r="G83" s="23" t="str"/>
      <x:c r="H83" s="23" t="str"/>
    </x:row>
    <x:row r="84">
      <x:c r="A84" s="23" t="str">
        <x:v>Colorglow Granatapfel Rose Conditioner</x:v>
      </x:c>
      <x:c r="B84" s="23" t="str">
        <x:v>texture_fit</x:v>
      </x:c>
      <x:c r="C84" s="23" t="str">
        <x:v>straight | wavy | curly</x:v>
      </x:c>
      <x:c r="D84" s="23" t="str">
        <x:v>straight | wavy | curly</x:v>
      </x:c>
      <x:c r="E84" s="23" t="n">
        <x:f>IF(C84=D84,1,0)</x:f>
        <x:v>1</x:v>
      </x:c>
      <x:c r="F84" s="23" t="str"/>
      <x:c r="G84" s="23" t="str"/>
      <x:c r="H84" s="23" t="str"/>
    </x:row>
    <x:row r="85">
      <x:c r="A85" s="23" t="str">
        <x:v>Colorglow Granatapfel Rose Conditioner</x:v>
      </x:c>
      <x:c r="B85" s="23" t="str">
        <x:v>scalp_application_fit</x:v>
      </x:c>
      <x:c r="C85" s="23" t="str">
        <x:v>conditional</x:v>
      </x:c>
      <x:c r="D85" s="23" t="str">
        <x:v>conditional</x:v>
      </x:c>
      <x:c r="E85" s="23" t="n">
        <x:f>IF(C85=D85,1,0)</x:f>
        <x:v>1</x:v>
      </x:c>
      <x:c r="F85" s="23" t="str"/>
      <x:c r="G85" s="23" t="str"/>
      <x:c r="H85" s="23" t="str"/>
    </x:row>
    <x:row r="86">
      <x:c r="A86" s="23" t="str">
        <x:v>Moisturising Conditioner Reisegröße</x:v>
      </x:c>
      <x:c r="B86" s="23" t="str">
        <x:v>conditioning_level</x:v>
      </x:c>
      <x:c r="C86" s="23" t="str">
        <x:v>high</x:v>
      </x:c>
      <x:c r="D86" s="23" t="str">
        <x:v>high</x:v>
      </x:c>
      <x:c r="E86" s="23" t="n">
        <x:f>IF(C86=D86,1,0)</x:f>
        <x:v>1</x:v>
      </x:c>
      <x:c r="F86" s="23" t="str"/>
      <x:c r="G86" s="23" t="str"/>
      <x:c r="H86" s="23" t="str"/>
    </x:row>
    <x:row r="87">
      <x:c r="A87" s="23" t="str">
        <x:v>Moisturising Conditioner Reisegröße</x:v>
      </x:c>
      <x:c r="B87" s="23" t="str">
        <x:v>weight_potential</x:v>
      </x:c>
      <x:c r="C87" s="23" t="str">
        <x:v>high</x:v>
      </x:c>
      <x:c r="D87" s="23" t="str">
        <x:v>high</x:v>
      </x:c>
      <x:c r="E87" s="23" t="n">
        <x:f>IF(C87=D87,1,0)</x:f>
        <x:v>1</x:v>
      </x:c>
      <x:c r="F87" s="23" t="str"/>
      <x:c r="G87" s="23" t="str"/>
      <x:c r="H87" s="23" t="str"/>
    </x:row>
    <x:row r="88">
      <x:c r="A88" s="23" t="str">
        <x:v>Moisturising Conditioner Reisegröße</x:v>
      </x:c>
      <x:c r="B88" s="23" t="str">
        <x:v>primary_focus</x:v>
      </x:c>
      <x:c r="C88" s="23" t="str">
        <x:v>curl_support</x:v>
      </x:c>
      <x:c r="D88" s="23" t="str">
        <x:v>curl_support</x:v>
      </x:c>
      <x:c r="E88" s="23" t="n">
        <x:f>IF(C88=D88,1,0)</x:f>
        <x:v>1</x:v>
      </x:c>
      <x:c r="F88" s="23" t="str"/>
      <x:c r="G88" s="23" t="str"/>
      <x:c r="H88" s="23" t="str"/>
    </x:row>
    <x:row r="89">
      <x:c r="A89" s="23" t="str">
        <x:v>Moisturising Conditioner Reisegröße</x:v>
      </x:c>
      <x:c r="B89" s="23" t="str">
        <x:v>secondary_focus</x:v>
      </x:c>
      <x:c r="C89" s="23" t="str">
        <x:v>detangling | smoothing</x:v>
      </x:c>
      <x:c r="D89" s="23" t="str">
        <x:v>smoothing | detangling</x:v>
      </x:c>
      <x:c r="E89" s="23" t="n">
        <x:f>IF(C89=D89,1,0)</x:f>
        <x:v>0</x:v>
      </x:c>
      <x:c r="F89" s="23" t="str"/>
      <x:c r="G89" s="23" t="str"/>
      <x:c r="H89" s="23" t="str"/>
    </x:row>
    <x:row r="90">
      <x:c r="A90" s="23" t="str">
        <x:v>Moisturising Conditioner Reisegröße</x:v>
      </x:c>
      <x:c r="B90" s="23" t="str">
        <x:v>usage_role</x:v>
      </x:c>
      <x:c r="C90" s="23" t="str">
        <x:v>regular</x:v>
      </x:c>
      <x:c r="D90" s="23" t="str">
        <x:v>regular</x:v>
      </x:c>
      <x:c r="E90" s="23" t="n">
        <x:f>IF(C90=D90,1,0)</x:f>
        <x:v>1</x:v>
      </x:c>
      <x:c r="F90" s="23" t="str"/>
      <x:c r="G90" s="23" t="str"/>
      <x:c r="H90" s="23" t="str"/>
    </x:row>
    <x:row r="91">
      <x:c r="A91" s="23" t="str">
        <x:v>Moisturising Conditioner Reisegröße</x:v>
      </x:c>
      <x:c r="B91" s="23" t="str">
        <x:v>hair_thickness_fit</x:v>
      </x:c>
      <x:c r="C91" s="23" t="str">
        <x:v>medium | coarse</x:v>
      </x:c>
      <x:c r="D91" s="23" t="str">
        <x:v>medium | coarse</x:v>
      </x:c>
      <x:c r="E91" s="23" t="n">
        <x:f>IF(C91=D91,1,0)</x:f>
        <x:v>1</x:v>
      </x:c>
      <x:c r="F91" s="23" t="str"/>
      <x:c r="G91" s="23" t="str"/>
      <x:c r="H91" s="23" t="str"/>
    </x:row>
    <x:row r="92">
      <x:c r="A92" s="23" t="str">
        <x:v>Moisturising Conditioner Reisegröße</x:v>
      </x:c>
      <x:c r="B92" s="23" t="str">
        <x:v>damage_fit</x:v>
      </x:c>
      <x:c r="C92" s="23" t="str">
        <x:v>moderately_damaged | highly_damaged</x:v>
      </x:c>
      <x:c r="D92" s="23" t="str">
        <x:v>moderately_damaged | highly_damaged</x:v>
      </x:c>
      <x:c r="E92" s="23" t="n">
        <x:f>IF(C92=D92,1,0)</x:f>
        <x:v>1</x:v>
      </x:c>
      <x:c r="F92" s="23" t="str"/>
      <x:c r="G92" s="23" t="str"/>
      <x:c r="H92" s="23" t="str"/>
    </x:row>
    <x:row r="93">
      <x:c r="A93" s="23" t="str">
        <x:v>Moisturising Conditioner Reisegröße</x:v>
      </x:c>
      <x:c r="B93" s="23" t="str">
        <x:v>texture_fit</x:v>
      </x:c>
      <x:c r="C93" s="23" t="str">
        <x:v>wavy | curly | coily</x:v>
      </x:c>
      <x:c r="D93" s="23" t="str">
        <x:v>wavy | curly | coily</x:v>
      </x:c>
      <x:c r="E93" s="23" t="n">
        <x:f>IF(C93=D93,1,0)</x:f>
        <x:v>1</x:v>
      </x:c>
      <x:c r="F93" s="23" t="str"/>
      <x:c r="G93" s="23" t="str"/>
      <x:c r="H93" s="23" t="str"/>
    </x:row>
    <x:row r="94">
      <x:c r="A94" s="23" t="str">
        <x:v>Moisturising Conditioner Reisegröße</x:v>
      </x:c>
      <x:c r="B94" s="23" t="str">
        <x:v>scalp_application_fit</x:v>
      </x:c>
      <x:c r="C94" s="23" t="str">
        <x:v>conditional</x:v>
      </x:c>
      <x:c r="D94" s="23" t="str">
        <x:v>conditional</x:v>
      </x:c>
      <x:c r="E94" s="23" t="n">
        <x:f>IF(C94=D94,1,0)</x:f>
        <x:v>1</x:v>
      </x:c>
      <x:c r="F94" s="23" t="str"/>
      <x:c r="G94" s="23" t="str"/>
      <x:c r="H94" s="23" t="str"/>
    </x:row>
    <x:row r="95">
      <x:c r="A95" s="23" t="str">
        <x:v>Bond+ Reparatur Spülung</x:v>
      </x:c>
      <x:c r="B95" s="23" t="str">
        <x:v>conditioning_level</x:v>
      </x:c>
      <x:c r="C95" s="23" t="str">
        <x:v>high</x:v>
      </x:c>
      <x:c r="D95" s="23" t="str">
        <x:v>high</x:v>
      </x:c>
      <x:c r="E95" s="23" t="n">
        <x:f>IF(C95=D95,1,0)</x:f>
        <x:v>1</x:v>
      </x:c>
      <x:c r="F95" s="23" t="str"/>
      <x:c r="G95" s="23" t="str"/>
      <x:c r="H95" s="23" t="str"/>
    </x:row>
    <x:row r="96">
      <x:c r="A96" s="23" t="str">
        <x:v>Bond+ Reparatur Spülung</x:v>
      </x:c>
      <x:c r="B96" s="23" t="str">
        <x:v>weight_potential</x:v>
      </x:c>
      <x:c r="C96" s="23" t="str">
        <x:v>moderate</x:v>
      </x:c>
      <x:c r="D96" s="23" t="str">
        <x:v>moderate</x:v>
      </x:c>
      <x:c r="E96" s="23" t="n">
        <x:f>IF(C96=D96,1,0)</x:f>
        <x:v>1</x:v>
      </x:c>
      <x:c r="F96" s="23" t="str"/>
      <x:c r="G96" s="23" t="str"/>
      <x:c r="H96" s="23" t="str"/>
    </x:row>
    <x:row r="97">
      <x:c r="A97" s="23" t="str">
        <x:v>Bond+ Reparatur Spülung</x:v>
      </x:c>
      <x:c r="B97" s="23" t="str">
        <x:v>primary_focus</x:v>
      </x:c>
      <x:c r="C97" s="23" t="str">
        <x:v>repair</x:v>
      </x:c>
      <x:c r="D97" s="23" t="str">
        <x:v>repair</x:v>
      </x:c>
      <x:c r="E97" s="23" t="n">
        <x:f>IF(C97=D97,1,0)</x:f>
        <x:v>1</x:v>
      </x:c>
      <x:c r="F97" s="23" t="str"/>
      <x:c r="G97" s="23" t="str"/>
      <x:c r="H97" s="23" t="str"/>
    </x:row>
    <x:row r="98">
      <x:c r="A98" s="23" t="str">
        <x:v>Bond+ Reparatur Spülung</x:v>
      </x:c>
      <x:c r="B98" s="23" t="str">
        <x:v>secondary_focus</x:v>
      </x:c>
      <x:c r="C98" s="23" t="str">
        <x:v>detangling</x:v>
      </x:c>
      <x:c r="D98" s="23" t="str">
        <x:v>detangling</x:v>
      </x:c>
      <x:c r="E98" s="23" t="n">
        <x:f>IF(C98=D98,1,0)</x:f>
        <x:v>1</x:v>
      </x:c>
      <x:c r="F98" s="23" t="str"/>
      <x:c r="G98" s="23" t="str"/>
      <x:c r="H98" s="23" t="str"/>
    </x:row>
    <x:row r="99">
      <x:c r="A99" s="23" t="str">
        <x:v>Bond+ Reparatur Spülung</x:v>
      </x:c>
      <x:c r="B99" s="23" t="str">
        <x:v>usage_role</x:v>
      </x:c>
      <x:c r="C99" s="23" t="str">
        <x:v>regular</x:v>
      </x:c>
      <x:c r="D99" s="23" t="str">
        <x:v>regular</x:v>
      </x:c>
      <x:c r="E99" s="23" t="n">
        <x:f>IF(C99=D99,1,0)</x:f>
        <x:v>1</x:v>
      </x:c>
      <x:c r="F99" s="23" t="str"/>
      <x:c r="G99" s="23" t="str"/>
      <x:c r="H99" s="23" t="str"/>
    </x:row>
    <x:row r="100">
      <x:c r="A100" s="23" t="str">
        <x:v>Bond+ Reparatur Spülung</x:v>
      </x:c>
      <x:c r="B100" s="23" t="str">
        <x:v>hair_thickness_fit</x:v>
      </x:c>
      <x:c r="C100" s="23" t="str">
        <x:v>fine | medium | coarse</x:v>
      </x:c>
      <x:c r="D100" s="23" t="str">
        <x:v>fine | medium | coarse</x:v>
      </x:c>
      <x:c r="E100" s="23" t="n">
        <x:f>IF(C100=D100,1,0)</x:f>
        <x:v>1</x:v>
      </x:c>
      <x:c r="F100" s="23" t="str"/>
      <x:c r="G100" s="23" t="str"/>
      <x:c r="H100" s="23" t="str"/>
    </x:row>
    <x:row r="101">
      <x:c r="A101" s="23" t="str">
        <x:v>Bond+ Reparatur Spülung</x:v>
      </x:c>
      <x:c r="B101" s="23" t="str">
        <x:v>damage_fit</x:v>
      </x:c>
      <x:c r="C101" s="23" t="str">
        <x:v>moderately_damaged | highly_damaged</x:v>
      </x:c>
      <x:c r="D101" s="23" t="str">
        <x:v>moderately_damaged | highly_damaged</x:v>
      </x:c>
      <x:c r="E101" s="23" t="n">
        <x:f>IF(C101=D101,1,0)</x:f>
        <x:v>1</x:v>
      </x:c>
      <x:c r="F101" s="23" t="str"/>
      <x:c r="G101" s="23" t="str"/>
      <x:c r="H101" s="23" t="str"/>
    </x:row>
    <x:row r="102">
      <x:c r="A102" s="23" t="str">
        <x:v>Bond+ Reparatur Spülung</x:v>
      </x:c>
      <x:c r="B102" s="23" t="str">
        <x:v>texture_fit</x:v>
      </x:c>
      <x:c r="C102" s="23" t="str">
        <x:v>straight | wavy | curly</x:v>
      </x:c>
      <x:c r="D102" s="23" t="str">
        <x:v>straight | wavy | curly</x:v>
      </x:c>
      <x:c r="E102" s="23" t="n">
        <x:f>IF(C102=D102,1,0)</x:f>
        <x:v>1</x:v>
      </x:c>
      <x:c r="F102" s="23" t="str"/>
      <x:c r="G102" s="23" t="str"/>
      <x:c r="H102" s="23" t="str"/>
    </x:row>
    <x:row r="103">
      <x:c r="A103" s="24" t="str">
        <x:v>Bond+ Reparatur Spülung</x:v>
      </x:c>
      <x:c r="B103" s="24" t="str">
        <x:v>scalp_application_fit</x:v>
      </x:c>
      <x:c r="C103" s="24" t="str">
        <x:v>conditional</x:v>
      </x:c>
      <x:c r="D103" s="24" t="str">
        <x:v>conditional</x:v>
      </x:c>
      <x:c r="E103" s="24" t="n">
        <x:f>IF(C103=D103,1,0)</x:f>
        <x:v>1</x:v>
      </x:c>
      <x:c r="F103" s="24" t="str"/>
      <x:c r="G103" s="24" t="str"/>
      <x:c r="H103" s="24" t="str"/>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6" hidden="0" customWidth="1"/>
    <x:col min="2" max="2" width="10" hidden="0" customWidth="1"/>
    <x:col min="3" max="3" width="14" hidden="0" customWidth="1"/>
    <x:col min="4" max="4" width="16" hidden="0" customWidth="1"/>
    <x:col min="5" max="5" width="16" hidden="0" customWidth="1"/>
    <x:col min="6" max="6" width="18" hidden="0" customWidth="1"/>
    <x:col min="7" max="7" width="60" hidden="0" customWidth="1"/>
  </x:cols>
  <x:sheetData>
    <x:row r="1">
      <x:c r="A1" s="3" t="str">
        <x:v>Full-profile agreement</x:v>
      </x:c>
      <x:c r="B1" s="3"/>
      <x:c r="C1" s="3"/>
      <x:c r="D1" s="3"/>
      <x:c r="E1" s="3"/>
      <x:c r="F1" s="3"/>
      <x:c r="G1" s="3"/>
    </x:row>
    <x:row r="2">
      <x:c r="A2" s="6" t="str">
        <x:v>Historical direct-property metrics remain separate. Array fields use exact set equality after canonical ordering.</x:v>
      </x:c>
      <x:c r="B2" s="6"/>
      <x:c r="C2" s="6"/>
      <x:c r="D2" s="6"/>
      <x:c r="E2" s="6"/>
      <x:c r="F2" s="6"/>
      <x:c r="G2" s="6"/>
    </x:row>
    <x:row r="4">
      <x:c r="A4" s="13" t="str">
        <x:v>field</x:v>
      </x:c>
      <x:c r="B4" s="55" t="str">
        <x:v>n</x:v>
      </x:c>
      <x:c r="C4" s="55" t="str">
        <x:v>pre exact</x:v>
      </x:c>
      <x:c r="D4" s="55" t="str">
        <x:v>pre exact %</x:v>
      </x:c>
      <x:c r="E4" s="55" t="str">
        <x:v>accepted exact</x:v>
      </x:c>
      <x:c r="F4" s="55" t="str">
        <x:v>accepted exact %</x:v>
      </x:c>
      <x:c r="G4" s="14" t="str">
        <x:v>interpretation</x:v>
      </x:c>
    </x:row>
    <x:row r="5">
      <x:c r="A5" s="22" t="str">
        <x:v>conditioning_level</x:v>
      </x:c>
      <x:c r="B5" s="22" t="n">
        <x:v>11</x:v>
      </x:c>
      <x:c r="C5" s="22" t="n">
        <x:v>11</x:v>
      </x:c>
      <x:c r="D5" s="56" t="n">
        <x:v>1</x:v>
      </x:c>
      <x:c r="E5" s="22" t="n">
        <x:v>11</x:v>
      </x:c>
      <x:c r="F5" s="56" t="n">
        <x:v>1</x:v>
      </x:c>
      <x:c r="G5" s="22" t="str">
        <x:v>Exact blind agreement</x:v>
      </x:c>
    </x:row>
    <x:row r="6">
      <x:c r="A6" s="23" t="str">
        <x:v>weight_potential</x:v>
      </x:c>
      <x:c r="B6" s="23" t="n">
        <x:v>11</x:v>
      </x:c>
      <x:c r="C6" s="23" t="n">
        <x:v>11</x:v>
      </x:c>
      <x:c r="D6" s="57" t="n">
        <x:v>1</x:v>
      </x:c>
      <x:c r="E6" s="23" t="n">
        <x:v>11</x:v>
      </x:c>
      <x:c r="F6" s="57" t="n">
        <x:v>1</x:v>
      </x:c>
      <x:c r="G6" s="23" t="str">
        <x:v>Exact blind agreement</x:v>
      </x:c>
    </x:row>
    <x:row r="7">
      <x:c r="A7" s="23" t="str">
        <x:v>primary_focus</x:v>
      </x:c>
      <x:c r="B7" s="23" t="n">
        <x:v>11</x:v>
      </x:c>
      <x:c r="C7" s="23" t="n">
        <x:v>8</x:v>
      </x:c>
      <x:c r="D7" s="57" t="n">
        <x:v>0.727</x:v>
      </x:c>
      <x:c r="E7" s="23" t="n">
        <x:v>8</x:v>
      </x:c>
      <x:c r="F7" s="57" t="n">
        <x:v>0.7272727272727273</x:v>
      </x:c>
      <x:c r="G7" s="23" t="str">
        <x:v>Retained focus-hierarchy differences for review</x:v>
      </x:c>
    </x:row>
    <x:row r="8">
      <x:c r="A8" s="23" t="str">
        <x:v>secondary_focus</x:v>
      </x:c>
      <x:c r="B8" s="23" t="n">
        <x:v>11</x:v>
      </x:c>
      <x:c r="C8" s="23" t="n">
        <x:v>6</x:v>
      </x:c>
      <x:c r="D8" s="57" t="n">
        <x:v>0.545</x:v>
      </x:c>
      <x:c r="E8" s="23" t="n">
        <x:v>6</x:v>
      </x:c>
      <x:c r="F8" s="57" t="n">
        <x:v>0.5454545454545454</x:v>
      </x:c>
      <x:c r="G8" s="23" t="str">
        <x:v>Retained focus-hierarchy differences for review</x:v>
      </x:c>
    </x:row>
    <x:row r="9">
      <x:c r="A9" s="23" t="str">
        <x:v>usage_role</x:v>
      </x:c>
      <x:c r="B9" s="23" t="n">
        <x:v>11</x:v>
      </x:c>
      <x:c r="C9" s="23" t="n">
        <x:v>11</x:v>
      </x:c>
      <x:c r="D9" s="57" t="n">
        <x:v>1</x:v>
      </x:c>
      <x:c r="E9" s="23" t="n">
        <x:v>11</x:v>
      </x:c>
      <x:c r="F9" s="57" t="n">
        <x:v>1</x:v>
      </x:c>
      <x:c r="G9" s="23" t="str">
        <x:v>Exact blind agreement</x:v>
      </x:c>
    </x:row>
    <x:row r="10">
      <x:c r="A10" s="23" t="str">
        <x:v>hair_thickness_fit</x:v>
      </x:c>
      <x:c r="B10" s="23" t="n">
        <x:v>11</x:v>
      </x:c>
      <x:c r="C10" s="23" t="n">
        <x:v>11</x:v>
      </x:c>
      <x:c r="D10" s="57" t="n">
        <x:v>1</x:v>
      </x:c>
      <x:c r="E10" s="23" t="n">
        <x:v>11</x:v>
      </x:c>
      <x:c r="F10" s="57" t="n">
        <x:v>1</x:v>
      </x:c>
      <x:c r="G10" s="23" t="str">
        <x:v>Exact blind agreement</x:v>
      </x:c>
    </x:row>
    <x:row r="11">
      <x:c r="A11" s="23" t="str">
        <x:v>damage_fit</x:v>
      </x:c>
      <x:c r="B11" s="23" t="n">
        <x:v>11</x:v>
      </x:c>
      <x:c r="C11" s="23" t="n">
        <x:v>11</x:v>
      </x:c>
      <x:c r="D11" s="57" t="n">
        <x:v>1</x:v>
      </x:c>
      <x:c r="E11" s="23" t="n">
        <x:v>11</x:v>
      </x:c>
      <x:c r="F11" s="57" t="n">
        <x:v>1</x:v>
      </x:c>
      <x:c r="G11" s="23" t="str">
        <x:v>Exact blind agreement</x:v>
      </x:c>
    </x:row>
    <x:row r="12">
      <x:c r="A12" s="23" t="str">
        <x:v>texture_fit</x:v>
      </x:c>
      <x:c r="B12" s="23" t="n">
        <x:v>11</x:v>
      </x:c>
      <x:c r="C12" s="23" t="n">
        <x:v>11</x:v>
      </x:c>
      <x:c r="D12" s="57" t="n">
        <x:v>1</x:v>
      </x:c>
      <x:c r="E12" s="23" t="n">
        <x:v>11</x:v>
      </x:c>
      <x:c r="F12" s="57" t="n">
        <x:v>1</x:v>
      </x:c>
      <x:c r="G12" s="23" t="str">
        <x:v>Exact blind agreement</x:v>
      </x:c>
    </x:row>
    <x:row r="13">
      <x:c r="A13" s="24" t="str">
        <x:v>scalp_application_fit</x:v>
      </x:c>
      <x:c r="B13" s="24" t="n">
        <x:v>11</x:v>
      </x:c>
      <x:c r="C13" s="24" t="n">
        <x:v>11</x:v>
      </x:c>
      <x:c r="D13" s="58" t="n">
        <x:v>1</x:v>
      </x:c>
      <x:c r="E13" s="24" t="n">
        <x:v>11</x:v>
      </x:c>
      <x:c r="F13" s="58" t="n">
        <x:v>1</x:v>
      </x:c>
      <x:c r="G13" s="24" t="str">
        <x:v>Exact blind agreement</x:v>
      </x:c>
    </x:row>
    <x:row r="16">
      <x:c r="A16" s="44" t="str">
        <x:v>Accepted key vs Reviewer E: 91/99 (91.9%). All non-focus fields and Bali's corrected nine-field profile match exactly; eight retained differences are focus-hierarchy judgments across five products.</x:v>
      </x:c>
      <x:c r="B16" s="45"/>
      <x:c r="C16" s="45"/>
      <x:c r="D16" s="45"/>
      <x:c r="E16" s="45"/>
      <x:c r="F16" s="45"/>
      <x:c r="G16" s="46"/>
    </x:row>
    <x:row r="17">
      <x:c r="A17" s="47"/>
      <x:c r="B17" s="48"/>
      <x:c r="C17" s="48"/>
      <x:c r="D17" s="48"/>
      <x:c r="E17" s="48"/>
      <x:c r="F17" s="48"/>
      <x:c r="G17" s="49"/>
    </x:row>
    <x:row r="18">
      <x:c r="A18" s="47"/>
      <x:c r="B18" s="48"/>
      <x:c r="C18" s="48"/>
      <x:c r="D18" s="48"/>
      <x:c r="E18" s="48"/>
      <x:c r="F18" s="48"/>
      <x:c r="G18" s="49"/>
    </x:row>
    <x:row r="19">
      <x:c r="A19" s="50"/>
      <x:c r="B19" s="51"/>
      <x:c r="C19" s="51"/>
      <x:c r="D19" s="51"/>
      <x:c r="E19" s="51"/>
      <x:c r="F19" s="51"/>
      <x:c r="G19" s="52"/>
    </x:row>
  </x:sheetData>
  <x:mergeCells>
    <x:mergeCell ref="A1:G1"/>
    <x:mergeCell ref="A2:G2"/>
    <x:mergeCell ref="A16:G19"/>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 hidden="0" customWidth="1"/>
    <x:col min="2" max="2" width="54" hidden="0" customWidth="1"/>
    <x:col min="3" max="3" width="56" hidden="0" customWidth="1"/>
    <x:col min="4" max="4" width="100" hidden="0" customWidth="1"/>
    <x:col min="5" max="5" width="70" hidden="0" customWidth="1"/>
    <x:col min="6" max="6" width="14" hidden="0" customWidth="1"/>
  </x:cols>
  <x:sheetData>
    <x:row r="1">
      <x:c r="A1" s="3" t="str">
        <x:v>Nick uncertainty review</x:v>
      </x:c>
      <x:c r="B1" s="3"/>
      <x:c r="C1" s="3"/>
      <x:c r="D1" s="3"/>
      <x:c r="E1" s="3"/>
      <x:c r="F1" s="3"/>
    </x:row>
    <x:row r="2">
      <x:c r="A2" s="6" t="str">
        <x:v>All profiles are complete. This sheet isolates the evidence limits and judgment calls worth reviewing before any full cohort.</x:v>
      </x:c>
      <x:c r="B2" s="6"/>
      <x:c r="C2" s="6"/>
      <x:c r="D2" s="6"/>
      <x:c r="E2" s="6"/>
      <x:c r="F2" s="6"/>
    </x:row>
    <x:row r="4">
      <x:c r="A4" s="13" t="str">
        <x:v>product</x:v>
      </x:c>
      <x:c r="B4" s="55" t="str">
        <x:v>uncertain fields</x:v>
      </x:c>
      <x:c r="C4" s="55" t="str">
        <x:v>accepted profile</x:v>
      </x:c>
      <x:c r="D4" s="55" t="str">
        <x:v>assumption note</x:v>
      </x:c>
      <x:c r="E4" s="55" t="str">
        <x:v>direction source</x:v>
      </x:c>
      <x:c r="F4" s="14" t="str">
        <x:v>priority</x:v>
      </x:c>
    </x:row>
    <x:row r="5">
      <x:c r="A5" s="22" t="str">
        <x:v>Balea Med Ultra Sensitive Conditioner</x:v>
      </x:c>
      <x:c r="B5" s="22" t="str"/>
      <x:c r="C5" s="22" t="str">
        <x:v>high conditioning; moderate weight; detangling; regular</x:v>
      </x:c>
      <x:c r="D5" s="22" t="str">
        <x:v>High conditioning is carried by the cationic/fatty-alcohol base and cationic guar; the profile treats this as a detangling-first routine conditioner. Whole-hair directions make scalp application conditional rather than suitable.</x:v>
      </x:c>
      <x:c r="E5" s="22" t="str">
        <x:v>https://www.dm.de/p/d/1587731/balea-med-conditioner-ultra-sensitive</x:v>
      </x:c>
      <x:c r="F5" s="22" t="str">
        <x:v>aligned</x:v>
      </x:c>
    </x:row>
    <x:row r="6">
      <x:c r="A6" s="23" t="str">
        <x:v>Balea Professional Aqua Hyaluron Conditioner</x:v>
      </x:c>
      <x:c r="B6" s="23" t="str"/>
      <x:c r="C6" s="23" t="str">
        <x:v>moderate conditioning; low weight; lightness; regular</x:v>
      </x:c>
      <x:c r="D6" s="23" t="str">
        <x:v>Low weight plus likely-preserving body makes lightness the cleanest focus. Hyaluron/moisture wording is not treated as an independent performance route.</x:v>
      </x:c>
      <x:c r="E6" s="23" t="str">
        <x:v>https://vivavoss.com/products/conditioner-aqua-hyaluron-200-ml</x:v>
      </x:c>
      <x:c r="F6" s="23" t="str">
        <x:v>aligned</x:v>
      </x:c>
    </x:row>
    <x:row r="7">
      <x:c r="A7" s="23" t="str">
        <x:v>Hair Food Aloe Vera Feuchtigkeits-Spülung</x:v>
      </x:c>
      <x:c r="B7" s="23" t="str">
        <x:v>primary_focus</x:v>
      </x:c>
      <x:c r="C7" s="23" t="str">
        <x:v>high conditioning; high weight; detangling; regular</x:v>
      </x:c>
      <x:c r="D7" s="23" t="str">
        <x:v>High wet-slip evidence makes detangling the most direct primary focus; the rich lipid architecture supports curl support only as a secondary prior. Lengths-and-ends directions keep root application out of the default.</x:v>
      </x:c>
      <x:c r="E7" s="23" t="str">
        <x:v>https://www.garnier.de/haarpflege/haarpflege-marken/fructis/hair-food/feuchtigkeits-spuelung-mit-aloe-vera</x:v>
      </x:c>
      <x:c r="F7" s="23" t="str">
        <x:v>focus review</x:v>
      </x:c>
    </x:row>
    <x:row r="8">
      <x:c r="A8" s="23" t="str">
        <x:v>Volume Victory Conditioner</x:v>
      </x:c>
      <x:c r="B8" s="23" t="str">
        <x:v>weight_potential</x:v>
      </x:c>
      <x:c r="C8" s="23" t="str">
        <x:v>high conditioning; high weight; repair; regular</x:v>
      </x:c>
      <x:c r="D8" s="23" t="str">
        <x:v>Repair wins because the reviewed key has a distinct temporary film-support candidate, not because of general conditioning. The volume name conflicts with the deposition-rich architecture, so weight remains flagged despite the direct-property result.</x:v>
      </x:c>
      <x:c r="E8" s="23" t="str">
        <x:v>https://neqi-hair.com/products/volume-victory-conditioner</x:v>
      </x:c>
      <x:c r="F8" s="23" t="str">
        <x:v>focus review</x:v>
      </x:c>
    </x:row>
    <x:row r="9">
      <x:c r="A9" s="23" t="str">
        <x:v>Frizz Ease Wunder-Reparatur Conditioner</x:v>
      </x:c>
      <x:c r="B9" s="23" t="str"/>
      <x:c r="C9" s="23" t="str">
        <x:v>high conditioning; high weight; smoothing; frequent</x:v>
      </x:c>
      <x:c r="D9" s="23" t="str">
        <x:v>Smoothing wins over repair because the reviewed key does not show a distinct bond, silicone, or protein repair-film route; the repair name is treated as claim context only. Directions explicitly support after-every-wash use.</x:v>
      </x:c>
      <x:c r="E9" s="23" t="str">
        <x:v>https://www.rossmann.de/de/pflege-und-duft-john-frieda-frizz-ease-wunder-reparatur-frizz-ease-wunder-reparatur-conditioner/p/5037156298741</x:v>
      </x:c>
      <x:c r="F9" s="23" t="str">
        <x:v>focus review</x:v>
      </x:c>
    </x:row>
    <x:row r="10">
      <x:c r="A10" s="23" t="str">
        <x:v>Panthenol + Reparatur 2in1 Kur &amp; Spülung</x:v>
      </x:c>
      <x:c r="B10" s="23" t="str">
        <x:v>usage_role</x:v>
      </x:c>
      <x:c r="C10" s="23" t="str">
        <x:v>high conditioning; moderate weight; detangling; regular</x:v>
      </x:c>
      <x:c r="D10" s="23" t="str">
        <x:v>The 2-in-1 Kur/Spülung name raises an intensity question, but the reviewed directions remain conventional rinse-out, so the profile keeps regular usage. Repair wording is not upgraded to repair focus without a distinct repair-film or bond route.</x:v>
      </x:c>
      <x:c r="E10" s="23" t="str">
        <x:v>https://www.hagel-shop.de/guhl-panthenol-reparatur-2-in-1-kur-spulung-200-ml.html</x:v>
      </x:c>
      <x:c r="F10" s="23" t="str">
        <x:v>focus review</x:v>
      </x:c>
    </x:row>
    <x:row r="11">
      <x:c r="A11" s="23" t="str">
        <x:v>Biotin &amp; Collagen Conditioner</x:v>
      </x:c>
      <x:c r="B11" s="23" t="str"/>
      <x:c r="C11" s="23" t="str">
        <x:v>high conditioning; high weight; repair; regular</x:v>
      </x:c>
      <x:c r="D11" s="23" t="str">
        <x:v>Repair is assigned from the silicone plus hydrolyzed-collagen temporary film route, not from biotin/collagen thickening claims. Whole-hair directions make scalp application conditional.</x:v>
      </x:c>
      <x:c r="E11" s="23" t="str">
        <x:v>https://www.dm.de/p/d/1443632/ogx-conditioner-thick-und-full-biotin-und-collagen</x:v>
      </x:c>
      <x:c r="F11" s="23" t="str">
        <x:v>focus review</x:v>
      </x:c>
    </x:row>
    <x:row r="12">
      <x:c r="A12" s="23" t="str">
        <x:v>Conditioner Cream</x:v>
      </x:c>
      <x:c r="B12" s="23" t="str"/>
      <x:c r="C12" s="23" t="str">
        <x:v>high conditioning; high weight; curl_support; regular</x:v>
      </x:c>
      <x:c r="D12" s="23" t="str">
        <x:v>Curl support wins from the rich butter/polymer architecture and the product's curl-coily positioning. Ends-toward-roots directions still mean avoid roots as the practical default.</x:v>
      </x:c>
      <x:c r="E12" s="23" t="str">
        <x:v>https://www.dm.de/p/d/1675021/cantu-conditioner-cream</x:v>
      </x:c>
      <x:c r="F12" s="23" t="str">
        <x:v>aligned</x:v>
      </x:c>
    </x:row>
    <x:row r="13">
      <x:c r="A13" s="23" t="str">
        <x:v>Colorglow Granatapfel Rose Conditioner</x:v>
      </x:c>
      <x:c r="B13" s="23" t="str">
        <x:v>primary_focus</x:v>
      </x:c>
      <x:c r="C13" s="23" t="str">
        <x:v>high conditioning; moderate weight; color_care; regular</x:v>
      </x:c>
      <x:c r="D13" s="23" t="str">
        <x:v>Color care is primary because the reviewed key marks a distinct color/UV-protection candidate as the strongest coherent supported route; this remains a compatibility prior, not anti-fade proof. Placement is not narrowed to lengths and ends, so scalp application is conditional.</x:v>
      </x:c>
      <x:c r="E13" s="23" t="str">
        <x:v>https://www.jeanlen.de/color-conditioner-granatapfel-rose</x:v>
      </x:c>
      <x:c r="F13" s="23" t="str">
        <x:v>aligned</x:v>
      </x:c>
    </x:row>
    <x:row r="14">
      <x:c r="A14" s="23" t="str">
        <x:v>Moisturising Conditioner Reisegröße</x:v>
      </x:c>
      <x:c r="B14" s="23" t="str"/>
      <x:c r="C14" s="23" t="str">
        <x:v>high conditioning; high weight; curl_support; regular</x:v>
      </x:c>
      <x:c r="D14" s="23" t="str">
        <x:v>The manufacturer formula is authoritative and is independently confirmed for the exact 75 ml EAN by HAGEL. Its cationic/fatty-alcohol base, cationic guar, oils and butter support high conditioning, high weight and curl_support as the strongest coherent focus; detangling and smoothing are distinct secondary routes. The divergent dm transcription remains source history, while Flaconi EAN 4262391990056 is a different product identity and is not an exact-GTIN conflict.</x:v>
      </x:c>
      <x:c r="E14" s="23" t="str">
        <x:v>https://www.bali-care.com/de-de/products/moisturizing-conditioner</x:v>
      </x:c>
      <x:c r="F14" s="23" t="str">
        <x:v>aligned</x:v>
      </x:c>
    </x:row>
    <x:row r="15">
      <x:c r="A15" s="24" t="str">
        <x:v>Bond+ Reparatur Spülung</x:v>
      </x:c>
      <x:c r="B15" s="24" t="str">
        <x:v>primary_focus</x:v>
      </x:c>
      <x:c r="C15" s="24" t="str">
        <x:v>high conditioning; moderate weight; repair; regular</x:v>
      </x:c>
      <x:c r="D15" s="24" t="str">
        <x:v>Repair wins from the recognized gluconamide/gluconate bond-chemistry candidate; without product-level substantiation it remains candidate-level, not product-tested bond repair. Whole-hair directions make scalp application conditional.</x:v>
      </x:c>
      <x:c r="E15" s="24" t="str">
        <x:v>https://lebensmittel-versand.eu/Guhl-Bond-Reparatur-Spuelung-200ml</x:v>
      </x:c>
      <x:c r="F15" s="24" t="str">
        <x:v>aligned</x:v>
      </x:c>
    </x:row>
  </x:sheetData>
  <x:mergeCells>
    <x:mergeCell ref="A1:F1"/>
    <x:mergeCell ref="A2:F2"/>
  </x:mergeCells>
  <x:pageMargins left="0.7" right="0.7" top="0.75" bottom="0.75" header="0.3" footer="0.3"/>
</x:worksheet>
</file>