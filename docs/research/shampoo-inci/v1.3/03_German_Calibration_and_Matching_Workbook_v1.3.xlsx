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5230d9d97f45f6" /></Relationships>
</file>

<file path=xl/workbook.xml><?xml version="1.0" encoding="utf-8"?>
<x:workbook xmlns:x="http://schemas.openxmlformats.org/spreadsheetml/2006/main">
  <x:sheets>
    <x:sheet xmlns:r="http://schemas.openxmlformats.org/officeDocument/2006/relationships" name="README" sheetId="1" r:id="R811153372c864459"/>
    <x:sheet xmlns:r="http://schemas.openxmlformats.org/officeDocument/2006/relationships" name="Scorebook" sheetId="2" r:id="Rdc8b0d0ade3e490b"/>
    <x:sheet xmlns:r="http://schemas.openxmlformats.org/officeDocument/2006/relationships" name="Blind_Inputs" sheetId="3" r:id="Ra94c5c91f8b04af8"/>
    <x:sheet xmlns:r="http://schemas.openxmlformats.org/officeDocument/2006/relationships" name="Reviewer_A" sheetId="4" r:id="R4bd3e4d685ea48cf"/>
    <x:sheet xmlns:r="http://schemas.openxmlformats.org/officeDocument/2006/relationships" name="Reviewer_B" sheetId="5" r:id="Rac26534987fc4657"/>
    <x:sheet xmlns:r="http://schemas.openxmlformats.org/officeDocument/2006/relationships" name="Reference_Key" sheetId="6" r:id="R1f0fb148fd1a4393"/>
    <x:sheet xmlns:r="http://schemas.openxmlformats.org/officeDocument/2006/relationships" name="Agreement" sheetId="7" r:id="Rf8693e49130a4c22"/>
    <x:sheet xmlns:r="http://schemas.openxmlformats.org/officeDocument/2006/relationships" name="Agent_Pass_v0.1" sheetId="8" r:id="R92b890898a6440a3"/>
    <x:sheet xmlns:r="http://schemas.openxmlformats.org/officeDocument/2006/relationships" name="Agent_vs_Key" sheetId="9" r:id="Rfa9a6ac21cea4324"/>
    <x:sheet xmlns:r="http://schemas.openxmlformats.org/officeDocument/2006/relationships" name="Rules_v1_2" sheetId="10" r:id="R2d31b61b69344030"/>
    <x:sheet xmlns:r="http://schemas.openxmlformats.org/officeDocument/2006/relationships" name="Stress_Inputs" sheetId="11" r:id="Rcfcac562d44e4e80"/>
    <x:sheet xmlns:r="http://schemas.openxmlformats.org/officeDocument/2006/relationships" name="Stress_Key" sheetId="12" r:id="R99ffc3cc8fa24ba9"/>
    <x:sheet xmlns:r="http://schemas.openxmlformats.org/officeDocument/2006/relationships" name="Stress_Rule_Pass" sheetId="13" r:id="R2b2a9fefae244480"/>
    <x:sheet xmlns:r="http://schemas.openxmlformats.org/officeDocument/2006/relationships" name="Stress_Comparison" sheetId="14" r:id="R6e68a5944c0e4beb"/>
    <x:sheet xmlns:r="http://schemas.openxmlformats.org/officeDocument/2006/relationships" name="Change_Log_v1_2" sheetId="15" r:id="R93435c8479f840cb"/>
    <x:sheet xmlns:r="http://schemas.openxmlformats.org/officeDocument/2006/relationships" name="Lean_Matching_Model" sheetId="16" r:id="Rbe07b9466a324b96"/>
    <x:sheet xmlns:r="http://schemas.openxmlformats.org/officeDocument/2006/relationships" name="Property_Evidence_Template" sheetId="17" r:id="R2e6f1d870b854562"/>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00"/>
    <x:numFmt numFmtId="202" formatCode="@"/>
    <x:numFmt numFmtId="203" formatCode="0000000000000"/>
    <x:numFmt numFmtId="204" formatCode="000000000000"/>
    <x:numFmt numFmtId="205" formatCode="0"/>
    <x:numFmt numFmtId="206" formatCode="00000000"/>
    <x:numFmt numFmtId="207" formatCode="0.0%"/>
  </x:numFmts>
  <x:fonts count="9">
    <x:font>
      <x:sz val="11"/>
      <x:name val="Carlito"/>
    </x:font>
    <x:font>
      <x:b/>
      <x:sz val="18"/>
      <x:color rgb="FFFFFFFF"/>
      <x:name val="Carlito"/>
    </x:font>
    <x:font>
      <x:i/>
      <x:sz val="10"/>
      <x:color rgb="FF243746"/>
      <x:name val="Carlito"/>
    </x:font>
    <x:font>
      <x:b/>
      <x:sz val="10"/>
      <x:color rgb="FFFFFFFF"/>
      <x:name val="Carlito"/>
    </x:font>
    <x:font>
      <x:sz val="9"/>
      <x:color rgb="FF243746"/>
      <x:name val="Carlito"/>
    </x:font>
    <x:font>
      <x:b/>
      <x:sz val="9"/>
      <x:color rgb="FF243746"/>
      <x:name val="Carlito"/>
    </x:font>
    <x:font>
      <x:b/>
      <x:sz val="10"/>
      <x:color rgb="FF243746"/>
      <x:name val="Carlito"/>
    </x:font>
    <x:font>
      <x:b/>
      <x:sz val="11"/>
      <x:color rgb="FFFFFFFF"/>
      <x:name val="Carlito"/>
    </x:font>
    <x:font>
      <x:i/>
      <x:sz val="9"/>
      <x:color rgb="FF243746"/>
      <x:name val="Carlito"/>
    </x:font>
  </x:fonts>
  <x:fills count="17">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0F766E"/>
      </x:patternFill>
    </x:fill>
    <x:fill>
      <x:patternFill patternType="solid">
        <x:fgColor rgb="FF17324D"/>
      </x:patternFill>
    </x:fill>
    <x:fill>
      <x:patternFill patternType="solid">
        <x:fgColor rgb="FFEAF2F8"/>
      </x:patternFill>
    </x:fill>
    <x:fill>
      <x:patternFill patternType="solid">
        <x:fgColor rgb="FF0F766E"/>
      </x:patternFill>
    </x:fill>
    <x:fill>
      <x:patternFill patternType="solid">
        <x:fgColor rgb="FF17324D"/>
      </x:patternFill>
    </x:fill>
    <x:fill>
      <x:patternFill patternType="solid">
        <x:fgColor rgb="FFEAF2F8"/>
      </x:patternFill>
    </x:fill>
    <x:fill>
      <x:patternFill patternType="solid">
        <x:fgColor rgb="FF0F766E"/>
      </x:patternFill>
    </x:fill>
    <x:fill>
      <x:patternFill patternType="solid">
        <x:fgColor rgb="FF17324D"/>
      </x:patternFill>
    </x:fill>
    <x:fill>
      <x:patternFill patternType="solid">
        <x:fgColor rgb="FFEAF2F8"/>
      </x:patternFill>
    </x:fill>
    <x:fill>
      <x:patternFill patternType="solid">
        <x:fgColor rgb="FF0F766E"/>
      </x:patternFill>
    </x:fill>
    <x:fill>
      <x:patternFill patternType="solid">
        <x:fgColor rgb="FFF3E7BD"/>
      </x:patternFill>
    </x:fill>
    <x:fill>
      <x:patternFill patternType="solid">
        <x:fgColor rgb="FFFFF8DF"/>
      </x:patternFill>
    </x:fill>
    <x:fill>
      <x:patternFill patternType="solid">
        <x:fgColor rgb="FFE6F4EA"/>
      </x:patternFill>
    </x:fill>
  </x:fills>
  <x:borders count="16">
    <x:border/>
    <x:border/>
    <x:border>
      <x:left style="thin">
        <x:color rgb="FFFFFFFF"/>
      </x:left>
      <x:top style="thin">
        <x:color rgb="FFFFFFFF"/>
      </x:top>
      <x:bottom style="thin">
        <x:color rgb="FFFFFFFF"/>
      </x:bottom>
    </x:border>
    <x:border>
      <x:right style="thin">
        <x:color rgb="FFFFFFFF"/>
      </x:right>
      <x:top style="thin">
        <x:color rgb="FFFFFFFF"/>
      </x:top>
      <x:bottom style="thin">
        <x:color rgb="FFFFFFFF"/>
      </x:bottom>
    </x:border>
    <x:border>
      <x:left style="thin">
        <x:color rgb="FFFFFFFF"/>
      </x:left>
      <x:top style="thin">
        <x:color rgb="FFFFFFFF"/>
      </x:top>
      <x:bottom style="thin">
        <x:color rgb="FFFFFFFF"/>
      </x:bottom>
    </x:border>
    <x:border>
      <x:right style="thin">
        <x:color rgb="FFFFFFFF"/>
      </x:right>
      <x:top style="thin">
        <x:color rgb="FFFFFFFF"/>
      </x:top>
      <x:bottom style="thin">
        <x:color rgb="FFFFFFFF"/>
      </x:bottom>
    </x:border>
    <x:border>
      <x:right style="hair">
        <x:color rgb="FFD8DEE5"/>
      </x:right>
    </x:border>
    <x:border>
      <x:bottom style="hair">
        <x:color rgb="FFD8DEE5"/>
      </x:bottom>
    </x:border>
    <x:border>
      <x:right style="hair">
        <x:color rgb="FFD8DEE5"/>
      </x:right>
      <x:bottom style="hair">
        <x:color rgb="FFD8DEE5"/>
      </x:bottom>
    </x:border>
    <x:border>
      <x:right style="hair">
        <x:color rgb="FFD8DEE5"/>
      </x:right>
    </x:border>
    <x:border>
      <x:bottom style="hair">
        <x:color rgb="FFD8DEE5"/>
      </x:bottom>
    </x:border>
    <x:border>
      <x:right style="hair">
        <x:color rgb="FFD8DEE5"/>
      </x:right>
      <x:bottom style="hair">
        <x:color rgb="FFD8DEE5"/>
      </x:bottom>
    </x:border>
    <x:border>
      <x:top style="thin">
        <x:color rgb="FFFFFFFF"/>
      </x:top>
      <x:bottom style="thin">
        <x:color rgb="FFFFFFFF"/>
      </x:bottom>
    </x:border>
    <x:border>
      <x:top style="thin">
        <x:color rgb="FFFFFFFF"/>
      </x:top>
      <x:bottom style="thin">
        <x:color rgb="FFFFFFFF"/>
      </x:bottom>
    </x:border>
    <x:border>
      <x:bottom style="thin">
        <x:color rgb="FFFFFFFF"/>
      </x:bottom>
    </x:border>
    <x:border>
      <x:bottom style="thin">
        <x:color rgb="FFFFFFFF"/>
      </x:bottom>
    </x:border>
  </x:borders>
  <x:cellStyleXfs count="1">
    <x:xf numFmtId="0" fontId="0" fillId="0" borderId="0"/>
  </x:cellStyleXfs>
  <x:cellXfs count="2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4" fillId="0" borderId="0"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1"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3" fillId="4" borderId="12" xfId="0" applyNumberFormat="1" applyFont="1" applyFill="1" applyBorder="1"/>
    <x:xf numFmtId="0" fontId="3" fillId="4" borderId="12" xfId="0" applyNumberFormat="1" applyFont="1" applyFill="1" applyBorder="1" applyAlignment="1">
      <x:alignment wrapText="1"/>
    </x:xf>
    <x:xf numFmtId="0" fontId="3" fillId="4" borderId="12" xfId="0" applyNumberFormat="1" applyFont="1" applyFill="1" applyBorder="1" applyAlignment="1">
      <x:alignment horizontal="center" wrapText="1"/>
    </x:xf>
    <x:xf numFmtId="0" fontId="3" fillId="4" borderId="12" xfId="0" applyNumberFormat="1" applyFont="1" applyFill="1" applyBorder="1" applyAlignment="1">
      <x:alignment horizontal="center" vertical="center" wrapText="1"/>
    </x:xf>
    <x:xf numFmtId="0" fontId="3" fillId="4" borderId="13" xfId="0" applyNumberFormat="1" applyFont="1" applyFill="1" applyBorder="1"/>
    <x:xf numFmtId="0" fontId="3" fillId="4" borderId="13" xfId="0" applyNumberFormat="1" applyFont="1" applyFill="1" applyBorder="1" applyAlignment="1">
      <x:alignment wrapText="1"/>
    </x:xf>
    <x:xf numFmtId="0" fontId="3" fillId="4" borderId="13" xfId="0" applyNumberFormat="1" applyFont="1" applyFill="1" applyBorder="1" applyAlignment="1">
      <x:alignment horizontal="center" wrapText="1"/>
    </x:xf>
    <x:xf numFmtId="0" fontId="3" fillId="4" borderId="13" xfId="0" applyNumberFormat="1" applyFont="1" applyFill="1" applyBorder="1" applyAlignment="1">
      <x:alignment horizontal="center" vertical="center" wrapText="1"/>
    </x:xf>
    <x:xf numFmtId="0" fontId="3" fillId="2" borderId="0" xfId="0" applyNumberFormat="1" applyFont="1" applyFill="1" applyBorder="1"/>
    <x:xf numFmtId="0" fontId="3" fillId="2" borderId="14" xfId="0" applyNumberFormat="1" applyFont="1" applyFill="1" applyBorder="1"/>
    <x:xf numFmtId="0" fontId="3" fillId="2" borderId="14" xfId="0" applyNumberFormat="1" applyFont="1" applyFill="1" applyBorder="1" applyAlignment="1">
      <x:alignment horizontal="center"/>
    </x:xf>
    <x:xf numFmtId="0" fontId="3" fillId="2" borderId="14" xfId="0" applyNumberFormat="1" applyFont="1" applyFill="1" applyBorder="1" applyAlignment="1">
      <x:alignment horizontal="center" vertical="center"/>
    </x:xf>
    <x:xf numFmtId="0" fontId="3" fillId="2" borderId="1" xfId="0" applyNumberFormat="1" applyFont="1" applyFill="1" applyBorder="1"/>
    <x:xf numFmtId="0" fontId="3" fillId="2" borderId="15" xfId="0" applyNumberFormat="1" applyFont="1" applyFill="1" applyBorder="1"/>
    <x:xf numFmtId="0" fontId="3" fillId="2" borderId="15" xfId="0" applyNumberFormat="1" applyFont="1" applyFill="1" applyBorder="1" applyAlignment="1">
      <x:alignment horizontal="center"/>
    </x:xf>
    <x:xf numFmtId="0" fontId="3" fillId="2" borderId="15" xfId="0" applyNumberFormat="1" applyFont="1" applyFill="1" applyBorder="1" applyAlignment="1">
      <x:alignment horizontal="center" vertical="center"/>
    </x:xf>
    <x:xf numFmtId="200" fontId="4" fillId="0" borderId="6"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201" fontId="4" fillId="0" borderId="9"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1" fontId="4" fillId="0" borderId="7"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201" fontId="4" fillId="0" borderId="1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7"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0" fontId="4" fillId="0" borderId="10" xfId="0" applyNumberFormat="1" applyFont="1" applyFill="1" applyBorder="1" applyAlignment="1">
      <x:alignment vertical="top" wrapText="1"/>
    </x:xf>
    <x:xf numFmtId="202" fontId="4" fillId="0" borderId="0" xfId="0" applyNumberFormat="1" applyFont="1" applyFill="1" applyBorder="1" applyAlignment="1">
      <x:alignment vertical="top" wrapText="1"/>
    </x:xf>
    <x:xf numFmtId="202" fontId="4" fillId="0" borderId="7" xfId="0" applyNumberFormat="1" applyFont="1" applyFill="1" applyBorder="1" applyAlignment="1">
      <x:alignment vertical="top" wrapText="1"/>
    </x:xf>
    <x:xf numFmtId="202" fontId="4" fillId="0" borderId="1" xfId="0" applyNumberFormat="1" applyFont="1" applyFill="1" applyBorder="1" applyAlignment="1">
      <x:alignment vertical="top" wrapText="1"/>
    </x:xf>
    <x:xf numFmtId="202" fontId="4" fillId="0" borderId="10" xfId="0" applyNumberFormat="1" applyFont="1" applyFill="1" applyBorder="1" applyAlignment="1">
      <x:alignment vertical="top" wrapText="1"/>
    </x:xf>
    <x:xf numFmtId="203" fontId="4" fillId="0" borderId="0" xfId="0" applyNumberFormat="1" applyFont="1" applyFill="1" applyBorder="1" applyAlignment="1">
      <x:alignment vertical="top" wrapText="1"/>
    </x:xf>
    <x:xf numFmtId="203" fontId="4" fillId="0" borderId="1" xfId="0" applyNumberFormat="1" applyFont="1" applyFill="1" applyBorder="1" applyAlignment="1">
      <x:alignment vertical="top" wrapText="1"/>
    </x:xf>
    <x:xf numFmtId="204" fontId="4" fillId="0" borderId="0" xfId="0" applyNumberFormat="1" applyFont="1" applyFill="1" applyBorder="1" applyAlignment="1">
      <x:alignment vertical="top" wrapText="1"/>
    </x:xf>
    <x:xf numFmtId="204" fontId="4" fillId="0" borderId="1" xfId="0" applyNumberFormat="1" applyFont="1" applyFill="1" applyBorder="1" applyAlignment="1">
      <x:alignment vertical="top" wrapText="1"/>
    </x:xf>
    <x:xf numFmtId="203" fontId="4" fillId="0" borderId="7" xfId="0" applyNumberFormat="1" applyFont="1" applyFill="1" applyBorder="1" applyAlignment="1">
      <x:alignment vertical="top" wrapText="1"/>
    </x:xf>
    <x:xf numFmtId="203" fontId="4" fillId="0" borderId="1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2" xfId="0" applyNumberFormat="1" applyFont="1" applyFill="1" applyBorder="1"/>
    <x:xf numFmtId="0" fontId="3" fillId="7" borderId="12" xfId="0" applyNumberFormat="1" applyFont="1" applyFill="1" applyBorder="1"/>
    <x:xf numFmtId="0" fontId="3" fillId="7" borderId="3" xfId="0" applyNumberFormat="1" applyFont="1" applyFill="1" applyBorder="1"/>
    <x:xf numFmtId="0" fontId="3" fillId="7" borderId="2" xfId="0" applyNumberFormat="1" applyFont="1" applyFill="1" applyBorder="1" applyAlignment="1">
      <x:alignment wrapText="1"/>
    </x:xf>
    <x:xf numFmtId="0" fontId="3" fillId="7" borderId="12" xfId="0" applyNumberFormat="1" applyFont="1" applyFill="1" applyBorder="1" applyAlignment="1">
      <x:alignment wrapText="1"/>
    </x:xf>
    <x:xf numFmtId="0" fontId="3" fillId="7" borderId="3" xfId="0" applyNumberFormat="1" applyFont="1" applyFill="1" applyBorder="1" applyAlignment="1">
      <x:alignment wrapText="1"/>
    </x:xf>
    <x:xf numFmtId="0" fontId="3" fillId="7" borderId="2" xfId="0" applyNumberFormat="1" applyFont="1" applyFill="1" applyBorder="1" applyAlignment="1">
      <x:alignment horizontal="center" wrapText="1"/>
    </x:xf>
    <x:xf numFmtId="0" fontId="3" fillId="7" borderId="12" xfId="0" applyNumberFormat="1" applyFont="1" applyFill="1" applyBorder="1" applyAlignment="1">
      <x:alignment horizontal="center" wrapText="1"/>
    </x:xf>
    <x:xf numFmtId="0" fontId="3" fillId="7" borderId="3" xfId="0" applyNumberFormat="1" applyFont="1" applyFill="1" applyBorder="1" applyAlignment="1">
      <x:alignment horizontal="center" wrapText="1"/>
    </x:xf>
    <x:xf numFmtId="0" fontId="3" fillId="7" borderId="2" xfId="0" applyNumberFormat="1" applyFont="1" applyFill="1" applyBorder="1" applyAlignment="1">
      <x:alignment horizontal="center" vertical="center" wrapText="1"/>
    </x:xf>
    <x:xf numFmtId="0" fontId="3" fillId="7" borderId="12"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4" fillId="0" xfId="0" applyNumberFormat="1" applyFont="1" applyFill="1" applyBorder="0"/>
    <x:xf numFmtId="0" fontId="4" fillId="0" xfId="0" applyNumberFormat="1" applyFont="1" applyFill="1" applyBorder="0" applyAlignment="1">
      <x:alignment wrapText="1"/>
    </x:xf>
    <x:xf numFmtId="0" fontId="4" fillId="0" xfId="0" applyNumberFormat="1" applyFont="1" applyFill="1" applyBorder="0" applyAlignment="1">
      <x:alignment vertical="top" wrapText="1"/>
    </x:xf>
    <x:xf numFmtId="205" fontId="4" fillId="0" borderId="6" xfId="0" applyNumberFormat="1" applyFont="1" applyFill="1" applyBorder="1" applyAlignment="1">
      <x:alignment vertical="top" wrapText="1"/>
    </x:xf>
    <x:xf numFmtId="201" fontId="4" fillId="0" xfId="0" applyNumberFormat="1" applyFont="1" applyFill="1" applyBorder="0" applyAlignment="1">
      <x:alignment vertical="top" wrapText="1"/>
    </x:xf>
    <x:xf numFmtId="0" fontId="5" fillId="0" xfId="0" applyNumberFormat="1" applyFont="1" applyFill="1" applyBorder="0" applyAlignment="1">
      <x:alignment vertical="top"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vertical="center"/>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2" xfId="0" applyNumberFormat="1" applyFont="1" applyFill="1" applyBorder="1"/>
    <x:xf numFmtId="0" fontId="3" fillId="10" borderId="12" xfId="0" applyNumberFormat="1" applyFont="1" applyFill="1" applyBorder="1"/>
    <x:xf numFmtId="0" fontId="3" fillId="10" borderId="3" xfId="0" applyNumberFormat="1" applyFont="1" applyFill="1" applyBorder="1"/>
    <x:xf numFmtId="0" fontId="3" fillId="10" borderId="2" xfId="0" applyNumberFormat="1" applyFont="1" applyFill="1" applyBorder="1" applyAlignment="1">
      <x:alignment wrapText="1"/>
    </x:xf>
    <x:xf numFmtId="0" fontId="3" fillId="10" borderId="12" xfId="0" applyNumberFormat="1" applyFont="1" applyFill="1" applyBorder="1" applyAlignment="1">
      <x:alignment wrapText="1"/>
    </x:xf>
    <x:xf numFmtId="0" fontId="3" fillId="10" borderId="3" xfId="0" applyNumberFormat="1" applyFont="1" applyFill="1" applyBorder="1" applyAlignment="1">
      <x:alignment wrapText="1"/>
    </x:xf>
    <x:xf numFmtId="0" fontId="3" fillId="10" borderId="2" xfId="0" applyNumberFormat="1" applyFont="1" applyFill="1" applyBorder="1" applyAlignment="1">
      <x:alignment horizontal="center" wrapText="1"/>
    </x:xf>
    <x:xf numFmtId="0" fontId="3" fillId="10" borderId="12" xfId="0" applyNumberFormat="1" applyFont="1" applyFill="1" applyBorder="1" applyAlignment="1">
      <x:alignment horizontal="center" wrapText="1"/>
    </x:xf>
    <x:xf numFmtId="0" fontId="3" fillId="10" borderId="3" xfId="0" applyNumberFormat="1" applyFont="1" applyFill="1" applyBorder="1" applyAlignment="1">
      <x:alignment horizontal="center" wrapText="1"/>
    </x:xf>
    <x:xf numFmtId="0" fontId="3" fillId="10" borderId="2" xfId="0" applyNumberFormat="1" applyFont="1" applyFill="1" applyBorder="1" applyAlignment="1">
      <x:alignment horizontal="center" vertical="center" wrapText="1"/>
    </x:xf>
    <x:xf numFmtId="0" fontId="3" fillId="10" borderId="12" xfId="0" applyNumberFormat="1" applyFont="1" applyFill="1" applyBorder="1" applyAlignment="1">
      <x:alignment horizontal="center" vertical="center" wrapText="1"/>
    </x:xf>
    <x:xf numFmtId="0" fontId="3" fillId="10" borderId="3" xfId="0" applyNumberFormat="1" applyFont="1" applyFill="1" applyBorder="1" applyAlignment="1">
      <x:alignment horizontal="center" vertical="center" wrapText="1"/>
    </x:xf>
    <x:xf numFmtId="0" fontId="3" fillId="8" borderId="0" xfId="0" applyNumberFormat="1" applyFont="1" applyFill="1" applyBorder="1"/>
    <x:xf numFmtId="0" fontId="3" fillId="8" borderId="2" xfId="0" applyNumberFormat="1" applyFont="1" applyFill="1" applyBorder="1"/>
    <x:xf numFmtId="0" fontId="3" fillId="8" borderId="12" xfId="0" applyNumberFormat="1" applyFont="1" applyFill="1" applyBorder="1"/>
    <x:xf numFmtId="0" fontId="3" fillId="8" borderId="3" xfId="0" applyNumberFormat="1" applyFont="1" applyFill="1" applyBorder="1"/>
    <x:xf numFmtId="0" fontId="3" fillId="8" borderId="2" xfId="0" applyNumberFormat="1" applyFont="1" applyFill="1" applyBorder="1" applyAlignment="1">
      <x:alignment wrapText="1"/>
    </x:xf>
    <x:xf numFmtId="0" fontId="3" fillId="8" borderId="12" xfId="0" applyNumberFormat="1" applyFont="1" applyFill="1" applyBorder="1" applyAlignment="1">
      <x:alignment wrapText="1"/>
    </x:xf>
    <x:xf numFmtId="0" fontId="3" fillId="8" borderId="3" xfId="0" applyNumberFormat="1" applyFont="1" applyFill="1" applyBorder="1" applyAlignment="1">
      <x:alignment wrapText="1"/>
    </x:xf>
    <x:xf numFmtId="0" fontId="3" fillId="8" borderId="2" xfId="0" applyNumberFormat="1" applyFont="1" applyFill="1" applyBorder="1" applyAlignment="1">
      <x:alignment horizontal="center" wrapText="1"/>
    </x:xf>
    <x:xf numFmtId="0" fontId="3" fillId="8" borderId="12" xfId="0" applyNumberFormat="1" applyFont="1" applyFill="1" applyBorder="1" applyAlignment="1">
      <x:alignment horizontal="center" wrapText="1"/>
    </x:xf>
    <x:xf numFmtId="0" fontId="3" fillId="8" borderId="3" xfId="0" applyNumberFormat="1" applyFont="1" applyFill="1" applyBorder="1" applyAlignment="1">
      <x:alignment horizontal="center" wrapText="1"/>
    </x:xf>
    <x:xf numFmtId="0" fontId="3" fillId="8" borderId="2" xfId="0" applyNumberFormat="1" applyFont="1" applyFill="1" applyBorder="1" applyAlignment="1">
      <x:alignment horizontal="center" vertical="center" wrapText="1"/>
    </x:xf>
    <x:xf numFmtId="0" fontId="3" fillId="8" borderId="1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204" fontId="4" fillId="0" xfId="0" applyNumberFormat="1" applyFont="1" applyFill="1" applyBorder="0" applyAlignment="1">
      <x:alignment vertical="top" wrapText="1"/>
    </x:xf>
    <x:xf numFmtId="203" fontId="4" fillId="0" xfId="0" applyNumberFormat="1" applyFont="1" applyFill="1" applyBorder="0" applyAlignment="1">
      <x:alignment vertical="top" wrapText="1"/>
    </x:xf>
    <x:xf numFmtId="206" fontId="4" fillId="0" borderId="7" xfId="0" applyNumberFormat="1" applyFont="1" applyFill="1" applyBorder="1" applyAlignment="1">
      <x:alignment vertical="top" wrapText="1"/>
    </x:xf>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vertical="center"/>
    </x:xf>
    <x:xf numFmtId="207" fontId="4" fillId="0" borderId="6" xfId="0" applyNumberFormat="1" applyFont="1" applyFill="1" applyBorder="1" applyAlignment="1">
      <x:alignment vertical="top" wrapText="1"/>
    </x:xf>
    <x:xf numFmtId="205" fontId="4" fillId="0" borderId="8" xfId="0" applyNumberFormat="1" applyFont="1" applyFill="1" applyBorder="1" applyAlignment="1">
      <x:alignment vertical="top" wrapText="1"/>
    </x:xf>
    <x:xf numFmtId="0" fontId="3" fillId="2" borderId="2" xfId="0" applyNumberFormat="1" applyFont="1" applyFill="1" applyBorder="1"/>
    <x:xf numFmtId="0" fontId="3" fillId="2" borderId="12" xfId="0" applyNumberFormat="1" applyFont="1" applyFill="1" applyBorder="1"/>
    <x:xf numFmtId="0" fontId="3" fillId="2" borderId="3" xfId="0" applyNumberFormat="1" applyFont="1" applyFill="1" applyBorder="1"/>
    <x:xf numFmtId="0" fontId="3" fillId="2" borderId="2" xfId="0" applyNumberFormat="1" applyFont="1" applyFill="1" applyBorder="1" applyAlignment="1">
      <x:alignment wrapText="1"/>
    </x:xf>
    <x:xf numFmtId="0" fontId="3" fillId="2" borderId="1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1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0" fillId="13" borderId="0" xfId="0" applyNumberFormat="1" applyFont="1" applyFill="1" applyBorder="1"/>
    <x:xf numFmtId="0" fontId="3" fillId="13" borderId="0" xfId="0" applyNumberFormat="1" applyFont="1" applyFill="1" applyBorder="1"/>
    <x:xf numFmtId="0" fontId="3" fillId="13" borderId="2" xfId="0" applyNumberFormat="1" applyFont="1" applyFill="1" applyBorder="1"/>
    <x:xf numFmtId="0" fontId="3" fillId="13" borderId="12" xfId="0" applyNumberFormat="1" applyFont="1" applyFill="1" applyBorder="1"/>
    <x:xf numFmtId="0" fontId="3" fillId="13" borderId="3" xfId="0" applyNumberFormat="1" applyFont="1" applyFill="1" applyBorder="1"/>
    <x:xf numFmtId="0" fontId="3" fillId="13" borderId="2" xfId="0" applyNumberFormat="1" applyFont="1" applyFill="1" applyBorder="1" applyAlignment="1">
      <x:alignment wrapText="1"/>
    </x:xf>
    <x:xf numFmtId="0" fontId="3" fillId="13" borderId="12" xfId="0" applyNumberFormat="1" applyFont="1" applyFill="1" applyBorder="1" applyAlignment="1">
      <x:alignment wrapText="1"/>
    </x:xf>
    <x:xf numFmtId="0" fontId="3" fillId="13" borderId="3" xfId="0" applyNumberFormat="1" applyFont="1" applyFill="1" applyBorder="1" applyAlignment="1">
      <x:alignment wrapText="1"/>
    </x:xf>
    <x:xf numFmtId="0" fontId="3" fillId="13" borderId="2" xfId="0" applyNumberFormat="1" applyFont="1" applyFill="1" applyBorder="1" applyAlignment="1">
      <x:alignment horizontal="center" wrapText="1"/>
    </x:xf>
    <x:xf numFmtId="0" fontId="3" fillId="13" borderId="12" xfId="0" applyNumberFormat="1" applyFont="1" applyFill="1" applyBorder="1" applyAlignment="1">
      <x:alignment horizontal="center" wrapText="1"/>
    </x:xf>
    <x:xf numFmtId="0" fontId="3" fillId="13" borderId="3" xfId="0" applyNumberFormat="1" applyFont="1" applyFill="1" applyBorder="1" applyAlignment="1">
      <x:alignment horizontal="center" wrapText="1"/>
    </x:xf>
    <x:xf numFmtId="0" fontId="3" fillId="13" borderId="2" xfId="0" applyNumberFormat="1" applyFont="1" applyFill="1" applyBorder="1" applyAlignment="1">
      <x:alignment horizontal="center" vertical="center" wrapText="1"/>
    </x:xf>
    <x:xf numFmtId="0" fontId="3" fillId="13" borderId="12" xfId="0" applyNumberFormat="1" applyFont="1" applyFill="1" applyBorder="1" applyAlignment="1">
      <x:alignment horizontal="center" vertical="center" wrapText="1"/>
    </x:xf>
    <x:xf numFmtId="0" fontId="3" fillId="13" borderId="3" xfId="0" applyNumberFormat="1" applyFont="1" applyFill="1" applyBorder="1" applyAlignment="1">
      <x:alignment horizontal="center" vertical="center" wrapText="1"/>
    </x:xf>
    <x:xf numFmtId="0" fontId="3" fillId="11" borderId="0" xfId="0" applyNumberFormat="1" applyFont="1" applyFill="1" applyBorder="1"/>
    <x:xf numFmtId="0" fontId="3" fillId="11" borderId="2" xfId="0" applyNumberFormat="1" applyFont="1" applyFill="1" applyBorder="1"/>
    <x:xf numFmtId="0" fontId="3" fillId="11" borderId="12" xfId="0" applyNumberFormat="1" applyFont="1" applyFill="1" applyBorder="1"/>
    <x:xf numFmtId="0" fontId="3" fillId="11" borderId="3" xfId="0" applyNumberFormat="1" applyFont="1" applyFill="1" applyBorder="1"/>
    <x:xf numFmtId="0" fontId="3" fillId="11" borderId="2" xfId="0" applyNumberFormat="1" applyFont="1" applyFill="1" applyBorder="1" applyAlignment="1">
      <x:alignment wrapText="1"/>
    </x:xf>
    <x:xf numFmtId="0" fontId="3" fillId="11" borderId="12" xfId="0" applyNumberFormat="1" applyFont="1" applyFill="1" applyBorder="1" applyAlignment="1">
      <x:alignment wrapText="1"/>
    </x:xf>
    <x:xf numFmtId="0" fontId="3" fillId="11" borderId="3" xfId="0" applyNumberFormat="1" applyFont="1" applyFill="1" applyBorder="1" applyAlignment="1">
      <x:alignment wrapText="1"/>
    </x:xf>
    <x:xf numFmtId="0" fontId="3" fillId="11" borderId="2" xfId="0" applyNumberFormat="1" applyFont="1" applyFill="1" applyBorder="1" applyAlignment="1">
      <x:alignment horizontal="center" wrapText="1"/>
    </x:xf>
    <x:xf numFmtId="0" fontId="3" fillId="11" borderId="12" xfId="0" applyNumberFormat="1" applyFont="1" applyFill="1" applyBorder="1" applyAlignment="1">
      <x:alignment horizontal="center" wrapText="1"/>
    </x:xf>
    <x:xf numFmtId="0" fontId="3" fillId="11" borderId="3" xfId="0" applyNumberFormat="1" applyFont="1" applyFill="1" applyBorder="1" applyAlignment="1">
      <x:alignment horizontal="center" wrapText="1"/>
    </x:xf>
    <x:xf numFmtId="0" fontId="3" fillId="11" borderId="2" xfId="0" applyNumberFormat="1" applyFont="1" applyFill="1" applyBorder="1" applyAlignment="1">
      <x:alignment horizontal="center" vertical="center" wrapText="1"/>
    </x:xf>
    <x:xf numFmtId="0" fontId="3" fillId="11" borderId="12" xfId="0" applyNumberFormat="1" applyFont="1" applyFill="1" applyBorder="1" applyAlignment="1">
      <x:alignment horizontal="center" vertical="center" wrapText="1"/>
    </x:xf>
    <x:xf numFmtId="0" fontId="3" fillId="11" borderId="3" xfId="0" applyNumberFormat="1" applyFont="1" applyFill="1" applyBorder="1" applyAlignment="1">
      <x:alignment horizontal="center" vertical="center" wrapText="1"/>
    </x:xf>
    <x:xf numFmtId="0" fontId="0" fillId="14" borderId="0" xfId="0" applyNumberFormat="1" applyFont="1" applyFill="1" applyBorder="1"/>
    <x:xf numFmtId="0" fontId="6" fillId="14" borderId="0" xfId="0" applyNumberFormat="1" applyFont="1" applyFill="1" applyBorder="1"/>
    <x:xf numFmtId="0" fontId="6" fillId="14" borderId="0" xfId="0" applyNumberFormat="1" applyFont="1" applyFill="1" applyBorder="1" applyAlignment="1">
      <x:alignment vertical="center"/>
    </x:xf>
    <x:xf numFmtId="0" fontId="0" fillId="15" borderId="0" xfId="0" applyNumberFormat="1" applyFont="1" applyFill="1" applyBorder="1"/>
    <x:xf numFmtId="0" fontId="4" fillId="15" borderId="0" xfId="0" applyNumberFormat="1" applyFont="1" applyFill="1" applyBorder="1"/>
    <x:xf numFmtId="0" fontId="4" fillId="15" borderId="0" xfId="0" applyNumberFormat="1" applyFont="1" applyFill="1" applyBorder="1" applyAlignment="1">
      <x:alignment wrapText="1"/>
    </x:xf>
    <x:xf numFmtId="0" fontId="4" fillId="15" borderId="0" xfId="0" applyNumberFormat="1" applyFont="1" applyFill="1" applyBorder="1" applyAlignment="1">
      <x:alignment vertical="top" wrapText="1"/>
    </x:xf>
    <x:xf numFmtId="0" fontId="7" fillId="11" borderId="0" xfId="0" applyNumberFormat="1" applyFont="1" applyFill="1" applyBorder="1"/>
    <x:xf numFmtId="0" fontId="7" fillId="11" borderId="0" xfId="0" applyNumberFormat="1" applyFont="1" applyFill="1" applyBorder="1" applyAlignment="1">
      <x:alignment vertical="center"/>
    </x:xf>
    <x:xf numFmtId="0" fontId="4" fillId="16" borderId="7" xfId="0" applyNumberFormat="1" applyFont="1" applyFill="1" applyBorder="1" applyAlignment="1">
      <x:alignment vertical="top" wrapText="1"/>
    </x:xf>
    <x:xf numFmtId="0" fontId="4" fillId="16" borderId="8" xfId="0" applyNumberFormat="1" applyFont="1" applyFill="1" applyBorder="1" applyAlignment="1">
      <x:alignment vertical="top" wrapText="1"/>
    </x:xf>
    <x:xf numFmtId="0" fontId="8" fillId="12" borderId="0" xfId="0" applyNumberFormat="1" applyFont="1" applyFill="1" applyBorder="1"/>
    <x:xf numFmtId="0" fontId="8" fillId="12" borderId="0" xfId="0" applyNumberFormat="1" applyFont="1" applyFill="1" applyBorder="1" applyAlignment="1">
      <x:alignment wrapText="1"/>
    </x:xf>
    <x:xf numFmtId="0" fontId="8" fillId="12" borderId="0" xfId="0" applyNumberFormat="1" applyFont="1" applyFill="1" applyBorder="1" applyAlignment="1">
      <x:alignment vertical="center" wrapText="1"/>
    </x:xf>
  </x:cellXfs>
  <x:cellStyles count="1">
    <x:cellStyle name="Normal" xfId="0"/>
  </x:cellStyles>
  <x:dxfs count="2">
    <x:dxf>
      <x:font>
        <x:b/>
        <x:color rgb="FF9C2F2F"/>
      </x:font>
      <x:fill>
        <x:patternFill patternType="solid">
          <x:bgColor rgb="FFFCE8E6"/>
        </x:patternFill>
      </x:fill>
    </x:dxf>
    <x:dxf>
      <x:font>
        <x:b/>
        <x:color rgb="FF25613C"/>
      </x:font>
      <x:fill>
        <x:patternFill patternType="solid">
          <x:bgColor rgb="FFE6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b67de0dbfc490d" /><Relationship Type="http://schemas.openxmlformats.org/officeDocument/2006/relationships/theme" Target="/xl/theme/theme1.xml" Id="R5b77ffb4f8bf4eae" /><Relationship Type="http://schemas.openxmlformats.org/officeDocument/2006/relationships/sharedStrings" Target="/xl/sharedStrings.xml" Id="R00f6bf3faa57481d" /><Relationship Type="http://schemas.openxmlformats.org/officeDocument/2006/relationships/worksheet" Target="/xl/worksheets/sheet1.xml" Id="R811153372c864459" /><Relationship Type="http://schemas.openxmlformats.org/officeDocument/2006/relationships/worksheet" Target="/xl/worksheets/sheet2.xml" Id="Rdc8b0d0ade3e490b" /><Relationship Type="http://schemas.openxmlformats.org/officeDocument/2006/relationships/worksheet" Target="/xl/worksheets/sheet3.xml" Id="Ra94c5c91f8b04af8" /><Relationship Type="http://schemas.openxmlformats.org/officeDocument/2006/relationships/worksheet" Target="/xl/worksheets/sheet4.xml" Id="R4bd3e4d685ea48cf" /><Relationship Type="http://schemas.openxmlformats.org/officeDocument/2006/relationships/worksheet" Target="/xl/worksheets/sheet5.xml" Id="Rac26534987fc4657" /><Relationship Type="http://schemas.openxmlformats.org/officeDocument/2006/relationships/worksheet" Target="/xl/worksheets/sheet6.xml" Id="R1f0fb148fd1a4393" /><Relationship Type="http://schemas.openxmlformats.org/officeDocument/2006/relationships/worksheet" Target="/xl/worksheets/sheet7.xml" Id="Rf8693e49130a4c22" /><Relationship Type="http://schemas.openxmlformats.org/officeDocument/2006/relationships/worksheet" Target="/xl/worksheets/sheet8.xml" Id="R92b890898a6440a3" /><Relationship Type="http://schemas.openxmlformats.org/officeDocument/2006/relationships/worksheet" Target="/xl/worksheets/sheet9.xml" Id="Rfa9a6ac21cea4324" /><Relationship Type="http://schemas.openxmlformats.org/officeDocument/2006/relationships/worksheet" Target="/xl/worksheets/sheet10.xml" Id="R2d31b61b69344030" /><Relationship Type="http://schemas.openxmlformats.org/officeDocument/2006/relationships/worksheet" Target="/xl/worksheets/sheet11.xml" Id="Rcfcac562d44e4e80" /><Relationship Type="http://schemas.openxmlformats.org/officeDocument/2006/relationships/worksheet" Target="/xl/worksheets/sheet12.xml" Id="R99ffc3cc8fa24ba9" /><Relationship Type="http://schemas.openxmlformats.org/officeDocument/2006/relationships/worksheet" Target="/xl/worksheets/sheet13.xml" Id="R2b2a9fefae244480" /><Relationship Type="http://schemas.openxmlformats.org/officeDocument/2006/relationships/worksheet" Target="/xl/worksheets/sheet14.xml" Id="R6e68a5944c0e4beb" /><Relationship Type="http://schemas.openxmlformats.org/officeDocument/2006/relationships/worksheet" Target="/xl/worksheets/sheet15.xml" Id="R93435c8479f840cb" /><Relationship Type="http://schemas.openxmlformats.org/officeDocument/2006/relationships/worksheet" Target="/xl/worksheets/sheet16.xml" Id="Rbe07b9466a324b96" /><Relationship Type="http://schemas.openxmlformats.org/officeDocument/2006/relationships/worksheet" Target="/xl/worksheets/sheet17.xml" Id="R2e6f1d870b854562" /></Relationships>
</file>

<file path=xl/drawings/_rels/drawing1.xml.rels>&#65279;<?xml version="1.0" encoding="utf-8"?><Relationships xmlns="http://schemas.openxmlformats.org/package/2006/relationships"><Relationship Type="http://schemas.openxmlformats.org/officeDocument/2006/relationships/chart" Target="/xl/drawings/charts/chart1.xml" Id="Rc289d217b2054eec" /></Relationships>
</file>

<file path=xl/drawings/_rels/drawing2.xml.rels>&#65279;<?xml version="1.0" encoding="utf-8"?><Relationships xmlns="http://schemas.openxmlformats.org/package/2006/relationships"><Relationship Type="http://schemas.openxmlformats.org/officeDocument/2006/relationships/chart" Target="/xl/drawings/charts/chart2.xml" Id="Rf7047c925ec74e9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Agent vs key: mean absolute difference by product</a:t>
            </a:r>
          </a:p>
        </c:rich>
      </c:tx>
    </c:title>
    <c:autoTitleDeleted val="0"/>
    <c:plotArea>
      <c:barChart>
        <c:barDir val="col"/>
        <c:varyColors val="0"/>
        <c:ser>
          <c:idx val="0"/>
          <c:order val="0"/>
          <c:tx>
            <c:v>MAE</c:v>
          </c:tx>
          <c:cat>
            <c:strRef>
              <c:f>'Agent_vs_Key'!$B$13:$B$22</c:f>
              <c:strCache>
                <c:ptCount val="0"/>
              </c:strCache>
            </c:strRef>
          </c:cat>
          <c:val>
            <c:numRef>
              <c:f>'Agent_vs_Key'!$C$13:$C$22</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rot="-2700000" anchorCtr="1"/>
          <a:lstStyle xmlns:a="http://schemas.openxmlformats.org/drawingml/2006/main"/>
          <a:p xmlns:a="http://schemas.openxmlformats.org/drawingml/2006/main">
            <a:pPr>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Mean absolute difference by stress-test product</a:t>
            </a:r>
          </a:p>
        </c:rich>
      </c:tx>
    </c:title>
    <c:autoTitleDeleted val="0"/>
    <c:plotArea>
      <c:barChart>
        <c:barDir val="col"/>
        <c:varyColors val="0"/>
        <c:ser>
          <c:idx val="0"/>
          <c:order val="0"/>
          <c:tx>
            <c:v>MAE</c:v>
          </c:tx>
          <c:cat>
            <c:strRef>
              <c:f>'Stress_Comparison'!$B$14:$B$18</c:f>
              <c:strCache>
                <c:ptCount val="0"/>
              </c:strCache>
            </c:strRef>
          </c:cat>
          <c:val>
            <c:numRef>
              <c:f>'Stress_Comparison'!$C$14:$C$18</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rot="-2100000" anchorCtr="1"/>
          <a:lstStyle xmlns:a="http://schemas.openxmlformats.org/drawingml/2006/main"/>
          <a:p xmlns:a="http://schemas.openxmlformats.org/drawingml/2006/main">
            <a:pPr>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25</xdr:row>
      <xdr:rowOff>0</xdr:rowOff>
    </xdr:from>
    <xdr:to>
      <xdr:col>14</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89d217b2054eec"/>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21</xdr:row>
      <xdr:rowOff>0</xdr:rowOff>
    </xdr:from>
    <xdr:to>
      <xdr:col>14</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047c925ec74e9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drawing" Target="/xl/drawings/drawing1.xml" Id="R95d06c52bec14afc" /></Relationships>
</file>

<file path=xl/worksheets/_rels/sheet14.xml.rels>&#65279;<?xml version="1.0" encoding="utf-8"?><Relationships xmlns="http://schemas.openxmlformats.org/package/2006/relationships"><Relationship Type="http://schemas.openxmlformats.org/officeDocument/2006/relationships/drawing" Target="/xl/drawings/drawing2.xml" Id="R7b7d62ee57714f0e" /></Relationships>
</file>

<file path=xl/worksheets/sheet1.xml><?xml version="1.0" encoding="utf-8"?>
<x:worksheet xmlns:x="http://schemas.openxmlformats.org/spreadsheetml/2006/main">
  <x:sheetFormatPr defaultRowHeight="15"/>
  <x:cols>
    <x:col min="1" max="1" width="20" hidden="0" customWidth="1"/>
    <x:col min="2" max="2" width="62" hidden="0" customWidth="1"/>
    <x:col min="3" max="3" width="3" hidden="0" customWidth="1"/>
    <x:col min="4" max="4" width="8" hidden="0" customWidth="1"/>
    <x:col min="5" max="5" width="35" hidden="0" customWidth="1"/>
    <x:col min="6" max="6" width="42" hidden="0" customWidth="1"/>
    <x:col min="7" max="7" width="32" hidden="0" customWidth="1"/>
    <x:col min="8" max="8" width="18" hidden="0" customWidth="1"/>
    <x:col min="9" max="9" width="18" hidden="0" customWidth="1"/>
    <x:col min="10" max="10" width="18" hidden="0" customWidth="1"/>
  </x:cols>
  <x:sheetData>
    <x:row r="1" ht="34" customHeight="1">
      <x:c r="A1" s="4" t="str">
        <x:v>German Shampoo Calibration Set v1.3</x:v>
      </x:c>
      <x:c r="B1" s="4"/>
      <x:c r="C1" s="4"/>
      <x:c r="D1" s="4"/>
      <x:c r="E1" s="4"/>
      <x:c r="F1" s="4"/>
      <x:c r="G1" s="4"/>
      <x:c r="H1" s="4"/>
      <x:c r="I1" s="4"/>
      <x:c r="J1" s="4"/>
    </x:row>
    <x:row r="2" ht="30" customHeight="1">
      <x:c r="A2" s="11" t="str">
        <x:v>The original calibration and tightened stress tests remain intact. v1.3 adds the minimum viable explainable matching profile and reusable property-evidence template.</x:v>
      </x:c>
      <x:c r="B2" s="11"/>
      <x:c r="C2" s="11"/>
      <x:c r="D2" s="11"/>
      <x:c r="E2" s="11"/>
      <x:c r="F2" s="11"/>
      <x:c r="G2" s="11"/>
      <x:c r="H2" s="11"/>
      <x:c r="I2" s="11"/>
      <x:c r="J2" s="11"/>
    </x:row>
    <x:row r="4">
      <x:c r="A4" s="24" t="str">
        <x:v>Field</x:v>
      </x:c>
      <x:c r="B4" s="25" t="str">
        <x:v>Guidance</x:v>
      </x:c>
      <x:c r="D4" s="24" t="str">
        <x:v>ID</x:v>
      </x:c>
      <x:c r="E4" s="67" t="str">
        <x:v>Product</x:v>
      </x:c>
      <x:c r="F4" s="67" t="str">
        <x:v>Calibration role</x:v>
      </x:c>
      <x:c r="G4" s="67" t="str">
        <x:v>Dominant claim</x:v>
      </x:c>
      <x:c r="H4" s="67" t="str">
        <x:v>GTIN</x:v>
      </x:c>
      <x:c r="I4" s="67" t="str">
        <x:v>Specialist?</x:v>
      </x:c>
      <x:c r="J4" s="25" t="str">
        <x:v>Source confidence</x:v>
      </x:c>
    </x:row>
    <x:row r="5" ht="56" customHeight="1">
      <x:c r="A5" s="60" t="str">
        <x:v>Purpose</x:v>
      </x:c>
      <x:c r="B5" s="45" t="str">
        <x:v>Test whether different reviewers apply the Shampoo Research &amp; Classification Standard consistently.</x:v>
      </x:c>
      <x:c r="D5" s="44" t="str">
        <x:v>P01</x:v>
      </x:c>
      <x:c r="E5" s="44" t="str">
        <x:v>Balea — Shampoo Volumen</x:v>
      </x:c>
      <x:c r="F5" s="44" t="str">
        <x:v>Clear anchor: volume through cleansing + low weight</x:v>
      </x:c>
      <x:c r="G5" s="44" t="str">
        <x:v>Volume for fine/thin hair; silicone-free</x:v>
      </x:c>
      <x:c r="H5" s="96" t="n">
        <x:v>4066447982671</x:v>
      </x:c>
      <x:c r="I5" s="44" t="str">
        <x:v>No</x:v>
      </x:c>
      <x:c r="J5" s="45" t="str">
        <x:v>High</x:v>
      </x:c>
    </x:row>
    <x:row r="6" ht="56" customHeight="1">
      <x:c r="A6" s="60" t="str">
        <x:v>Run protocol</x:v>
      </x:c>
      <x:c r="B6" s="45" t="str">
        <x:v>Reviewer A and Reviewer B independently score the products without opening Reference_Key. Then inspect Agreement, discuss disagreements, and document adjudicated changes.</x:v>
      </x:c>
      <x:c r="D6" s="44" t="str">
        <x:v>P02</x:v>
      </x:c>
      <x:c r="E6" s="44" t="str">
        <x:v>John Frieda — Volume Lift Shampoo</x:v>
      </x:c>
      <x:c r="F6" s="44" t="str">
        <x:v>Volume hybrid: cleansing + protein/bodying film</x:v>
      </x:c>
      <x:c r="G6" s="44" t="str">
        <x:v>Volume, fullness, strand-plumping; silicone-free</x:v>
      </x:c>
      <x:c r="H6" s="96" t="n">
        <x:v>5037156299106</x:v>
      </x:c>
      <x:c r="I6" s="44" t="str">
        <x:v>No</x:v>
      </x:c>
      <x:c r="J6" s="45" t="str">
        <x:v>High</x:v>
      </x:c>
    </x:row>
    <x:row r="7" ht="56" customHeight="1">
      <x:c r="A7" s="60" t="str">
        <x:v>Score scale</x:v>
      </x:c>
      <x:c r="B7" s="45" t="str">
        <x:v>0 = no meaningful support; 1 = weak; 2 = plausible/moderate; 3 = strong; 4 = very strong/direct.</x:v>
      </x:c>
      <x:c r="D7" s="44" t="str">
        <x:v>P03</x:v>
      </x:c>
      <x:c r="E7" s="44" t="str">
        <x:v>L'Oréal Paris Elvital — Glycolic Gloss Shampoo</x:v>
      </x:c>
      <x:c r="F7" s="44" t="str">
        <x:v>Shine anchor: silicone/cationic deposition versus hero-acid story</x:v>
      </x:c>
      <x:c r="G7" s="44" t="str">
        <x:v>Gloss and cuticle smoothing through glycolic acid</x:v>
      </x:c>
      <x:c r="H7" s="96" t="n">
        <x:v>3600524293543</x:v>
      </x:c>
      <x:c r="I7" s="44" t="str">
        <x:v>No</x:v>
      </x:c>
      <x:c r="J7" s="45" t="str">
        <x:v>High</x:v>
      </x:c>
    </x:row>
    <x:row r="8" ht="56" customHeight="1">
      <x:c r="A8" s="60" t="str">
        <x:v>Evidence scale</x:v>
      </x:c>
      <x:c r="B8" s="45" t="str">
        <x:v>E0 marketing only; E1 general mechanism; E2 exact-formula coherent mechanism; E3 product consumer study; E4 product instrumental/expert test; E5 independent finished-product evidence.</x:v>
      </x:c>
      <x:c r="D8" s="44" t="str">
        <x:v>P04</x:v>
      </x:c>
      <x:c r="E8" s="44" t="str">
        <x:v>Balea Professional — Shampoo Silberglanz</x:v>
      </x:c>
      <x:c r="F8" s="44" t="str">
        <x:v>Optical/color-brightness anchor: toning is not the same as physical gloss</x:v>
      </x:c>
      <x:c r="G8" s="44" t="str">
        <x:v>Anti-yellow toning, color protection, care and shine</x:v>
      </x:c>
      <x:c r="H8" s="96" t="n">
        <x:v>4070765001426</x:v>
      </x:c>
      <x:c r="I8" s="44" t="str">
        <x:v>No</x:v>
      </x:c>
      <x:c r="J8" s="45" t="str">
        <x:v>High</x:v>
      </x:c>
    </x:row>
    <x:row r="9" ht="56" customHeight="1">
      <x:c r="A9" s="60" t="str">
        <x:v>Core rule</x:v>
      </x:c>
      <x:c r="B9" s="45" t="str">
        <x:v>Store formula signal, finished-product evidence and user suitability separately.</x:v>
      </x:c>
      <x:c r="D9" s="44" t="str">
        <x:v>P05</x:v>
      </x:c>
      <x:c r="E9" s="44" t="str">
        <x:v>Pantene Pro-V — Shampoo Repair &amp; Care</x:v>
      </x:c>
      <x:c r="F9" s="44" t="str">
        <x:v>Repair anchor: silicone-free but clearly conditioning</x:v>
      </x:c>
      <x:c r="G9" s="44" t="str">
        <x:v>Repair, anti-split-end care, gloss and bond protection</x:v>
      </x:c>
      <x:c r="H9" s="96" t="n">
        <x:v>8700216422437</x:v>
      </x:c>
      <x:c r="I9" s="44" t="str">
        <x:v>No</x:v>
      </x:c>
      <x:c r="J9" s="45" t="str">
        <x:v>High</x:v>
      </x:c>
    </x:row>
    <x:row r="10" ht="56" customHeight="1">
      <x:c r="A10" s="60" t="str">
        <x:v>Important boundary</x:v>
      </x:c>
      <x:c r="B10" s="45" t="str">
        <x:v>P10 includes an anti-dandruff active. Score its base shampoo architecture here, but pass anti-dandruff efficacy to a specialist scalp-active module.</x:v>
      </x:c>
      <x:c r="D10" s="44" t="str">
        <x:v>P06</x:v>
      </x:c>
      <x:c r="E10" s="44" t="str">
        <x:v>OLAPLEX — N°4 Bond Maintenance Shampoo</x:v>
      </x:c>
      <x:c r="F10" s="44" t="str">
        <x:v>Premium repair/bond hybrid with overlapping conditioning systems</x:v>
      </x:c>
      <x:c r="G10" s="44" t="str">
        <x:v>Reduced breakage, strength, hydration, smoothing and bond maintenance</x:v>
      </x:c>
      <x:c r="H10" s="96" t="n">
        <x:v>850018802598</x:v>
      </x:c>
      <x:c r="I10" s="44" t="str">
        <x:v>No</x:v>
      </x:c>
      <x:c r="J10" s="45" t="str">
        <x:v>High</x:v>
      </x:c>
    </x:row>
    <x:row r="11" ht="56" customHeight="1">
      <x:c r="A11" s="60" t="str">
        <x:v>Suggested target</x:v>
      </x:c>
      <x:c r="B11" s="45" t="str">
        <x:v>Provisional calibration target: mean absolute A/B score difference ≤0.50. Any individual dimension difference &gt;1 requires discussion.</x:v>
      </x:c>
      <x:c r="D11" s="44" t="str">
        <x:v>P07</x:v>
      </x:c>
      <x:c r="E11" s="44" t="str">
        <x:v>OLAPLEX — N°4C Bond Maintenance Clarifying Shampoo</x:v>
      </x:c>
      <x:c r="F11" s="44" t="str">
        <x:v>Strong clarifying/chelating anchor</x:v>
      </x:c>
      <x:c r="G11" s="44" t="str">
        <x:v>Removal of product residue, oil, chlorine, metals and hard-water minerals</x:v>
      </x:c>
      <x:c r="H11" s="96" t="n">
        <x:v>850018802765</x:v>
      </x:c>
      <x:c r="I11" s="44" t="str">
        <x:v>No</x:v>
      </x:c>
      <x:c r="J11" s="45" t="str">
        <x:v>High</x:v>
      </x:c>
    </x:row>
    <x:row r="12" ht="56" customHeight="1">
      <x:c r="A12" s="61" t="str">
        <x:v>Capture date</x:v>
      </x:c>
      <x:c r="B12" s="47" t="str">
        <x:v>2026-07-31</x:v>
      </x:c>
      <x:c r="D12" s="44" t="str">
        <x:v>P08</x:v>
      </x:c>
      <x:c r="E12" s="44" t="str">
        <x:v>Balea med — Shampoo Ultra Sensitive</x:v>
      </x:c>
      <x:c r="F12" s="44" t="str">
        <x:v>Sensitive/fragrance-free anchor</x:v>
      </x:c>
      <x:c r="G12" s="44" t="str">
        <x:v>Very gentle daily cleansing for sensitive scalp; 5% glycerin; fragrance-free</x:v>
      </x:c>
      <x:c r="H12" s="96" t="n">
        <x:v>4066447966008</x:v>
      </x:c>
      <x:c r="I12" s="44" t="str">
        <x:v>No</x:v>
      </x:c>
      <x:c r="J12" s="45" t="str">
        <x:v>High</x:v>
      </x:c>
    </x:row>
    <x:row r="13" ht="56" customHeight="1">
      <x:c r="D13" s="44" t="str">
        <x:v>P09</x:v>
      </x:c>
      <x:c r="E13" s="44" t="str">
        <x:v>Cantu — Cream Cleanse Shampoo</x:v>
      </x:c>
      <x:c r="F13" s="44" t="str">
        <x:v>Textured-hair and sulfate-free edge case: strong organic cleanser</x:v>
      </x:c>
      <x:c r="G13" s="44" t="str">
        <x:v>Gentle but thorough cleansing for textured hair; buildup removal; sulfate-free positioning</x:v>
      </x:c>
      <x:c r="H13" s="98" t="n">
        <x:v>810006945461</x:v>
      </x:c>
      <x:c r="I13" s="44" t="str">
        <x:v>No</x:v>
      </x:c>
      <x:c r="J13" s="45" t="str">
        <x:v>High</x:v>
      </x:c>
    </x:row>
    <x:row r="14" ht="56" customHeight="1">
      <x:c r="D14" s="46" t="str">
        <x:v>P10</x:v>
      </x:c>
      <x:c r="E14" s="46" t="str">
        <x:v>Head &amp; Shoulders — Anti-Schuppen Shampoo Classic Clean</x:v>
      </x:c>
      <x:c r="F14" s="46" t="str">
        <x:v>Specialist boundary case: anti-dandruff active + silicone conditioning</x:v>
      </x:c>
      <x:c r="G14" s="46" t="str">
        <x:v>Anti-dandruff, itch/dryness control, daily suitability and care</x:v>
      </x:c>
      <x:c r="H14" s="100" t="n">
        <x:v>8001090896315</x:v>
      </x:c>
      <x:c r="I14" s="46" t="str">
        <x:v>Yes — anti-dandruff</x:v>
      </x:c>
      <x:c r="J14" s="47" t="str">
        <x:v>High</x:v>
      </x:c>
    </x:row>
    <x:row r="15" ht="52" customHeight="1">
      <x:c r="A15" s="132" t="str">
        <x:v>First automated comparison</x:v>
      </x:c>
      <x:c r="B15" s="45" t="str">
        <x:v>Agent_Pass_v0.1 contains a deterministic mechanism-first score pass. Agent_vs_Key compares it with the proposed expert key.</x:v>
      </x:c>
    </x:row>
    <x:row r="16" ht="52" customHeight="1">
      <x:c r="A16" s="132" t="str">
        <x:v>Important limitation</x:v>
      </x:c>
      <x:c r="B16" s="45" t="str">
        <x:v>This is an internal consistency test, not independent inter-rater reliability, because one model helped create both the key and the rule pass.</x:v>
      </x:c>
    </x:row>
    <x:row r="17" ht="52" customHeight="1">
      <x:c r="A17" s="132" t="str">
        <x:v>Current calibration use</x:v>
      </x:c>
      <x:c r="B17" s="45" t="str">
        <x:v>Use the comparison to tighten rule definitions, then run a blind Reviewer_B pass with a genuinely separate reviewer.</x:v>
      </x:c>
    </x:row>
    <x:row r="18" ht="52" customHeight="1">
      <x:c r="A18" s="61" t="str">
        <x:v>Updated version</x:v>
      </x:c>
      <x:c r="B18" s="47" t="str">
        <x:v>v1.1 — 2026-07-31</x:v>
      </x:c>
    </x:row>
    <x:row r="20" ht="48" customHeight="1">
      <x:c r="A20" s="132" t="str">
        <x:v>v1.2 rules</x:v>
      </x:c>
      <x:c r="B20" s="45" t="str">
        <x:v>Rules_v1_2 contains the tightened G1–G3 gates, hard caps and calibrated route anchors.</x:v>
      </x:c>
    </x:row>
    <x:row r="21" ht="48" customHeight="1">
      <x:c r="A21" s="132" t="str">
        <x:v>New inputs</x:v>
      </x:c>
      <x:c r="B21" s="45" t="str">
        <x:v>Stress_Inputs contains five exact product records, including one deliberately provisional GTIN/formula conflict.</x:v>
      </x:c>
    </x:row>
    <x:row r="22" ht="48" customHeight="1">
      <x:c r="A22" s="132" t="str">
        <x:v>Adjudicated key</x:v>
      </x:c>
      <x:c r="B22" s="45" t="str">
        <x:v>Stress_Key stores the tightened 17-dimensional profiles, evidence scope and gate rationale.</x:v>
      </x:c>
    </x:row>
    <x:row r="23" ht="48" customHeight="1">
      <x:c r="A23" s="132" t="str">
        <x:v>Rule pass</x:v>
      </x:c>
      <x:c r="B23" s="45" t="str">
        <x:v>Stress_Rule_Pass is a deterministic second pass with four retained one-point judgment boundaries.</x:v>
      </x:c>
    </x:row>
    <x:row r="24" ht="48" customHeight="1">
      <x:c r="A24" s="132" t="str">
        <x:v>Comparison</x:v>
      </x:c>
      <x:c r="B24" s="45" t="str">
        <x:v>Stress_Comparison calculates 85 score comparisons and dimension-level drift.</x:v>
      </x:c>
    </x:row>
    <x:row r="25" ht="48" customHeight="1">
      <x:c r="A25" s="61" t="str">
        <x:v>Version</x:v>
      </x:c>
      <x:c r="B25" s="47" t="str">
        <x:v>v1.2 — 31 July 2026</x:v>
      </x:c>
    </x:row>
    <x:row r="27" ht="50" customHeight="1">
      <x:c r="A27" s="132" t="str">
        <x:v>Lean matching model</x:v>
      </x:c>
      <x:c r="B27" s="45" t="str">
        <x:v>Lean_Matching_Model defines the compact application-facing profile, evidence object and derivation rules.</x:v>
      </x:c>
    </x:row>
    <x:row r="28" ht="50" customHeight="1">
      <x:c r="A28" s="132" t="str">
        <x:v>Property evidence template</x:v>
      </x:c>
      <x:c r="B28" s="45" t="str">
        <x:v>Property_Evidence_Template provides one auditable record per direct property or derived fit, with dropdowns and a completeness check.</x:v>
      </x:c>
    </x:row>
    <x:row r="29" ht="50" customHeight="1">
      <x:c r="A29" s="132" t="str">
        <x:v>Implementation recommendation</x:v>
      </x:c>
      <x:c r="B29" s="45" t="str">
        <x:v>Store matching_profile_json for runtime use and research_trace_json for the full audit record.</x:v>
      </x:c>
    </x:row>
    <x:row r="30" ht="50" customHeight="1">
      <x:c r="A30" s="132" t="str">
        <x:v>No naked labels</x:v>
      </x:c>
      <x:c r="B30" s="45" t="str">
        <x:v>Every fit label must include confidence, E-level/scope, rationale, observations, product inference, counter-signals, derivation and sources.</x:v>
      </x:c>
    </x:row>
    <x:row r="31" ht="50" customHeight="1">
      <x:c r="A31" s="61" t="str">
        <x:v>Version</x:v>
      </x:c>
      <x:c r="B31" s="47" t="str">
        <x:v>v1.3 — 10 August 2026</x:v>
      </x:c>
    </x:row>
  </x:sheetData>
  <x:mergeCells>
    <x:mergeCell ref="A1:J1"/>
    <x:mergeCell ref="A2:J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31" hidden="0" customWidth="1"/>
    <x:col min="3" max="3" width="70" hidden="0" customWidth="1"/>
    <x:col min="4" max="4" width="3" hidden="0" customWidth="1"/>
    <x:col min="5" max="5" width="12" hidden="0" customWidth="1"/>
    <x:col min="6" max="6" width="46" hidden="0" customWidth="1"/>
  </x:cols>
  <x:sheetData>
    <x:row r="1" ht="34" customHeight="1">
      <x:c r="A1" s="4" t="str">
        <x:v>Scorebook</x:v>
      </x:c>
      <x:c r="B1" s="4"/>
      <x:c r="C1" s="4"/>
      <x:c r="D1" s="4"/>
      <x:c r="E1" s="4"/>
      <x:c r="F1" s="4"/>
    </x:row>
    <x:row r="2" ht="30" customHeight="1">
      <x:c r="A2" s="11" t="str">
        <x:v>Use route-specific dimensions rather than one generic claim score. Score the formula signal first; audit marketing claims only afterward.</x:v>
      </x:c>
      <x:c r="B2" s="11"/>
      <x:c r="C2" s="11"/>
      <x:c r="D2" s="11"/>
      <x:c r="E2" s="11"/>
      <x:c r="F2" s="11"/>
    </x:row>
    <x:row r="4">
      <x:c r="A4" s="24" t="str">
        <x:v>Code</x:v>
      </x:c>
      <x:c r="B4" s="67" t="str">
        <x:v>Dimension</x:v>
      </x:c>
      <x:c r="C4" s="25" t="str">
        <x:v>Operational definition</x:v>
      </x:c>
      <x:c r="E4" s="24" t="str">
        <x:v>Score</x:v>
      </x:c>
      <x:c r="F4" s="25" t="str">
        <x:v>Anchor</x:v>
      </x:c>
    </x:row>
    <x:row r="5" ht="42" customHeight="1">
      <x:c r="A5" s="44" t="str">
        <x:v>CLN</x:v>
      </x:c>
      <x:c r="B5" s="44" t="str">
        <x:v>Cleansing potential</x:v>
      </x:c>
      <x:c r="C5" s="45" t="str">
        <x:v>Total likely removal of sebum/product residue from the full surfactant architecture.</x:v>
      </x:c>
      <x:c r="E5" s="44" t="n">
        <x:v>0</x:v>
      </x:c>
      <x:c r="F5" s="45" t="str">
        <x:v>No meaningful formula support identified</x:v>
      </x:c>
    </x:row>
    <x:row r="6" ht="42" customHeight="1">
      <x:c r="A6" s="44" t="str">
        <x:v>COND</x:v>
      </x:c>
      <x:c r="B6" s="44" t="str">
        <x:v>Conditioning/deposition</x:v>
      </x:c>
      <x:c r="C6" s="45" t="str">
        <x:v>Plausible deposition, lubrication and wet/dry combability support.</x:v>
      </x:c>
      <x:c r="E6" s="44" t="n">
        <x:v>1</x:v>
      </x:c>
      <x:c r="F6" s="45" t="str">
        <x:v>Weak/ambiguous support or decorative signal</x:v>
      </x:c>
    </x:row>
    <x:row r="7" ht="42" customHeight="1">
      <x:c r="A7" s="44" t="str">
        <x:v>WT</x:v>
      </x:c>
      <x:c r="B7" s="44" t="str">
        <x:v>Weight/buildup potential</x:v>
      </x:c>
      <x:c r="C7" s="45" t="str">
        <x:v>Potential to weigh down or accumulate, especially on fine/low-porosity hair.</x:v>
      </x:c>
      <x:c r="E7" s="44" t="n">
        <x:v>2</x:v>
      </x:c>
      <x:c r="F7" s="45" t="str">
        <x:v>Plausible/moderate support</x:v>
      </x:c>
    </x:row>
    <x:row r="8" ht="42" customHeight="1">
      <x:c r="A8" s="44" t="str">
        <x:v>S1</x:v>
      </x:c>
      <x:c r="B8" s="44" t="str">
        <x:v>Shine: deposition/smoothing</x:v>
      </x:c>
      <x:c r="C8" s="45" t="str">
        <x:v>Silicone, cationic polymer, conditioning amine or emollient route to smoother reflection.</x:v>
      </x:c>
      <x:c r="E8" s="44" t="n">
        <x:v>3</x:v>
      </x:c>
      <x:c r="F8" s="45" t="str">
        <x:v>Strong, coherent formula support</x:v>
      </x:c>
    </x:row>
    <x:row r="9" ht="42" customHeight="1">
      <x:c r="A9" s="44" t="str">
        <x:v>S2</x:v>
      </x:c>
      <x:c r="B9" s="44" t="str">
        <x:v>Shine: acidic surface route</x:v>
      </x:c>
      <x:c r="C9" s="45" t="str">
        <x:v>Coherent acidic/pH-management route; ingredient presence alone is weak.</x:v>
      </x:c>
      <x:c r="E9" s="46" t="n">
        <x:v>4</x:v>
      </x:c>
      <x:c r="F9" s="47" t="str">
        <x:v>Very strong/direct and purpose-built support</x:v>
      </x:c>
    </x:row>
    <x:row r="10" ht="42" customHeight="1">
      <x:c r="A10" s="44" t="str">
        <x:v>S3</x:v>
      </x:c>
      <x:c r="B10" s="44" t="str">
        <x:v>Shine: removal route</x:v>
      </x:c>
      <x:c r="C10" s="45" t="str">
        <x:v>Shine/brightness from removal of oil, styling film, minerals or metals.</x:v>
      </x:c>
    </x:row>
    <x:row r="11" ht="42" customHeight="1">
      <x:c r="A11" s="44" t="str">
        <x:v>S4</x:v>
      </x:c>
      <x:c r="B11" s="44" t="str">
        <x:v>Shine: optical/color route</x:v>
      </x:c>
      <x:c r="C11" s="45" t="str">
        <x:v>Pigments/toning or optical effects that change perceived brightness/color.</x:v>
      </x:c>
      <x:c r="E11" s="24" t="str">
        <x:v>Evidence</x:v>
      </x:c>
      <x:c r="F11" s="25" t="str">
        <x:v>Anchor</x:v>
      </x:c>
    </x:row>
    <x:row r="12" ht="42" customHeight="1">
      <x:c r="A12" s="44" t="str">
        <x:v>V1</x:v>
      </x:c>
      <x:c r="B12" s="44" t="str">
        <x:v>Volume: clean/light</x:v>
      </x:c>
      <x:c r="C12" s="45" t="str">
        <x:v>Root lift through efficient cleansing and low residue/weight.</x:v>
      </x:c>
      <x:c r="E12" s="44" t="str">
        <x:v>E0</x:v>
      </x:c>
      <x:c r="F12" s="45" t="str">
        <x:v>Marketing claim only</x:v>
      </x:c>
    </x:row>
    <x:row r="13" ht="42" customHeight="1">
      <x:c r="A13" s="44" t="str">
        <x:v>V2</x:v>
      </x:c>
      <x:c r="B13" s="44" t="str">
        <x:v>Volume: bodying film</x:v>
      </x:c>
      <x:c r="C13" s="45" t="str">
        <x:v>Proteins/polymers that can add temporary grip, stiffness or apparent body.</x:v>
      </x:c>
      <x:c r="E13" s="44" t="str">
        <x:v>E1</x:v>
      </x:c>
      <x:c r="F13" s="45" t="str">
        <x:v>General ingredient/mechanism literature</x:v>
      </x:c>
    </x:row>
    <x:row r="14" ht="42" customHeight="1">
      <x:c r="A14" s="44" t="str">
        <x:v>V3</x:v>
      </x:c>
      <x:c r="B14" s="44" t="str">
        <x:v>Volume: reset</x:v>
      </x:c>
      <x:c r="C14" s="45" t="str">
        <x:v>Restored lift through purposeful clarification of buildup.</x:v>
      </x:c>
      <x:c r="E14" s="44" t="str">
        <x:v>E2</x:v>
      </x:c>
      <x:c r="F14" s="45" t="str">
        <x:v>Exact formula + coherent mechanism</x:v>
      </x:c>
    </x:row>
    <x:row r="15" ht="42" customHeight="1">
      <x:c r="A15" s="44" t="str">
        <x:v>R1</x:v>
      </x:c>
      <x:c r="B15" s="44" t="str">
        <x:v>Repair: lubrication</x:v>
      </x:c>
      <x:c r="C15" s="45" t="str">
        <x:v>Friction reduction, detangling and breakage prevention through conditioning.</x:v>
      </x:c>
      <x:c r="E15" s="44" t="str">
        <x:v>E3</x:v>
      </x:c>
      <x:c r="F15" s="45" t="str">
        <x:v>Finished-product consumer perception</x:v>
      </x:c>
    </x:row>
    <x:row r="16" ht="42" customHeight="1">
      <x:c r="A16" s="44" t="str">
        <x:v>R2</x:v>
      </x:c>
      <x:c r="B16" s="44" t="str">
        <x:v>Repair: surface film</x:v>
      </x:c>
      <x:c r="C16" s="45" t="str">
        <x:v>Protein/polymer film or surface-filling support.</x:v>
      </x:c>
      <x:c r="E16" s="44" t="str">
        <x:v>E4</x:v>
      </x:c>
      <x:c r="F16" s="45" t="str">
        <x:v>Finished-product instrumental/expert testing</x:v>
      </x:c>
    </x:row>
    <x:row r="17" ht="42" customHeight="1">
      <x:c r="A17" s="44" t="str">
        <x:v>R3</x:v>
      </x:c>
      <x:c r="B17" s="44" t="str">
        <x:v>Repair: bond-specific</x:v>
      </x:c>
      <x:c r="C17" s="45" t="str">
        <x:v>Plausible bond-targeting mechanism beyond generic conditioning.</x:v>
      </x:c>
      <x:c r="E17" s="46" t="str">
        <x:v>E5</x:v>
      </x:c>
      <x:c r="F17" s="47" t="str">
        <x:v>Independent finished-product evidence</x:v>
      </x:c>
    </x:row>
    <x:row r="18" ht="42" customHeight="1">
      <x:c r="A18" s="44" t="str">
        <x:v>R4</x:v>
      </x:c>
      <x:c r="B18" s="44" t="str">
        <x:v>Repair: prevention</x:v>
      </x:c>
      <x:c r="C18" s="45" t="str">
        <x:v>Protection against subsequent mechanical/chemical/environmental damage.</x:v>
      </x:c>
    </x:row>
    <x:row r="19" ht="42" customHeight="1">
      <x:c r="A19" s="44" t="str">
        <x:v>OC</x:v>
      </x:c>
      <x:c r="B19" s="44" t="str">
        <x:v>Organic clarification</x:v>
      </x:c>
      <x:c r="C19" s="45" t="str">
        <x:v>Removal of sebum, styling product, dry shampoo and organic film.</x:v>
      </x:c>
    </x:row>
    <x:row r="20" ht="42" customHeight="1">
      <x:c r="A20" s="44" t="str">
        <x:v>IC</x:v>
      </x:c>
      <x:c r="B20" s="44" t="str">
        <x:v>Inorganic chelation</x:v>
      </x:c>
      <x:c r="C20" s="45" t="str">
        <x:v>Removal/management of hard-water minerals, metals or chlorine-associated deposits.</x:v>
      </x:c>
    </x:row>
    <x:row r="21" ht="42" customHeight="1">
      <x:c r="A21" s="46" t="str">
        <x:v>MILD</x:v>
      </x:c>
      <x:c r="B21" s="46" t="str">
        <x:v>Mildness potential</x:v>
      </x:c>
      <x:c r="C21" s="47" t="str">
        <x:v>Whole-formula potential for lower stripping/irritation; not a universal tolerance guarantee.</x:v>
      </x:c>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0" hidden="0" customWidth="1"/>
    <x:col min="3" max="3" width="32" hidden="0" customWidth="1"/>
    <x:col min="4" max="4" width="12" hidden="0" customWidth="1"/>
    <x:col min="5" max="5" width="10" hidden="0" customWidth="1"/>
    <x:col min="6" max="6" width="18" hidden="0" customWidth="1"/>
    <x:col min="7" max="7" width="13" hidden="0" customWidth="1"/>
    <x:col min="8" max="8" width="38" hidden="0" customWidth="1"/>
    <x:col min="9" max="9" width="34" hidden="0" customWidth="1"/>
    <x:col min="10" max="10" width="48" hidden="0" customWidth="1"/>
    <x:col min="11" max="11" width="80" hidden="0" customWidth="1"/>
    <x:col min="12" max="12" width="42" hidden="0" customWidth="1"/>
    <x:col min="13" max="13" width="42" hidden="0" customWidth="1"/>
    <x:col min="14" max="14" width="30" hidden="0" customWidth="1"/>
    <x:col min="15" max="15" width="48" hidden="0" customWidth="1"/>
    <x:col min="16" max="16" width="22" hidden="0" customWidth="1"/>
  </x:cols>
  <x:sheetData>
    <x:row r="1" ht="34" customHeight="1">
      <x:c r="A1" s="4" t="str">
        <x:v>Blind product inputs</x:v>
      </x:c>
      <x:c r="B1" s="4"/>
      <x:c r="C1" s="4"/>
      <x:c r="D1" s="4"/>
      <x:c r="E1" s="4"/>
      <x:c r="F1" s="4"/>
      <x:c r="G1" s="4"/>
      <x:c r="H1" s="4"/>
      <x:c r="I1" s="4"/>
      <x:c r="J1" s="4"/>
      <x:c r="K1" s="4"/>
      <x:c r="L1" s="4"/>
      <x:c r="M1" s="4"/>
      <x:c r="N1" s="4"/>
      <x:c r="O1" s="4"/>
      <x:c r="P1" s="4"/>
    </x:row>
    <x:row r="2" ht="30" customHeight="1">
      <x:c r="A2" s="11" t="str">
        <x:v>Review the exact formula identity and claims here. Do not open Reference_Key until both reviewers have completed their independent classifications.</x:v>
      </x:c>
      <x:c r="B2" s="11"/>
      <x:c r="C2" s="11"/>
      <x:c r="D2" s="11"/>
      <x:c r="E2" s="11"/>
      <x:c r="F2" s="11"/>
      <x:c r="G2" s="11"/>
      <x:c r="H2" s="11"/>
      <x:c r="I2" s="11"/>
      <x:c r="J2" s="11"/>
      <x:c r="K2" s="11"/>
      <x:c r="L2" s="11"/>
      <x:c r="M2" s="11"/>
      <x:c r="N2" s="11"/>
      <x:c r="O2" s="11"/>
      <x:c r="P2" s="11"/>
    </x:row>
    <x:row r="4">
      <x:c r="A4" s="24" t="str">
        <x:v>ID</x:v>
      </x:c>
      <x:c r="B4" s="67" t="str">
        <x:v>Brand</x:v>
      </x:c>
      <x:c r="C4" s="67" t="str">
        <x:v>Exact product</x:v>
      </x:c>
      <x:c r="D4" s="67" t="str">
        <x:v>Market</x:v>
      </x:c>
      <x:c r="E4" s="67" t="str">
        <x:v>Size ml</x:v>
      </x:c>
      <x:c r="F4" s="67" t="str">
        <x:v>GTIN/EAN</x:v>
      </x:c>
      <x:c r="G4" s="67" t="str">
        <x:v>Capture date</x:v>
      </x:c>
      <x:c r="H4" s="67" t="str">
        <x:v>Calibration role</x:v>
      </x:c>
      <x:c r="I4" s="67" t="str">
        <x:v>Dominant marketing claim</x:v>
      </x:c>
      <x:c r="J4" s="67" t="str">
        <x:v>Paraphrased public claims</x:v>
      </x:c>
      <x:c r="K4" s="67" t="str">
        <x:v>Raw INCI</x:v>
      </x:c>
      <x:c r="L4" s="67" t="str">
        <x:v>Formula/source URL</x:v>
      </x:c>
      <x:c r="M4" s="67" t="str">
        <x:v>Identity URL</x:v>
      </x:c>
      <x:c r="N4" s="67" t="str">
        <x:v>Source tier</x:v>
      </x:c>
      <x:c r="O4" s="67" t="str">
        <x:v>Formula/version note</x:v>
      </x:c>
      <x:c r="P4" s="25" t="str">
        <x:v>Formula fingerprint (SHA-256)</x:v>
      </x:c>
    </x:row>
    <x:row r="5" ht="110" customHeight="1">
      <x:c r="A5" s="44" t="str">
        <x:v>P01</x:v>
      </x:c>
      <x:c r="B5" s="44" t="str">
        <x:v>Balea</x:v>
      </x:c>
      <x:c r="C5" s="44" t="str">
        <x:v>Shampoo Volumen</x:v>
      </x:c>
      <x:c r="D5" s="44" t="str">
        <x:v>Germany</x:v>
      </x:c>
      <x:c r="E5" s="44" t="n">
        <x:v>300</x:v>
      </x:c>
      <x:c r="F5" s="96" t="n">
        <x:v>4066447982671</x:v>
      </x:c>
      <x:c r="G5" s="44" t="str">
        <x:v>2026-07-31</x:v>
      </x:c>
      <x:c r="H5" s="44" t="str">
        <x:v>Clear anchor: volume through cleansing + low weight</x:v>
      </x:c>
      <x:c r="I5" s="44" t="str">
        <x:v>Volume for fine/thin hair; silicone-free</x:v>
      </x:c>
      <x:c r="J5" s="44" t="str">
        <x:v>Designed for fine/thin hair and marketed for volume. Silicone-free.</x:v>
      </x:c>
      <x:c r="K5" s="44" t="str">
        <x:v>Aqua, Sodium Laureth Sulfate, Cocamidopropyl Betaine, Sodium Chloride, Panthenol, Niacinamide, Parfum, Glycerin, Urea, Glycol Distearate, Laureth-4, Starch Hydroxypropyltrimonium Chloride, Sodium Benzoate, Potassium Sorbate, Citric Acid, Sodium Hydroxide, Lactic Acid, Sodium Lactate</x:v>
      </x:c>
      <x:c r="L5" s="44" t="str">
        <x:v>https://www.dm.de/p/d/1679755/balea-shampoo-volumen</x:v>
      </x:c>
      <x:c r="M5" s="44" t="str">
        <x:v>https://www.dm.de/p/d/1679755/balea-shampoo-volumen</x:v>
      </x:c>
      <x:c r="N5" s="44" t="str">
        <x:v>Retailer listing with GTIN + current INCI</x:v>
      </x:c>
      <x:c r="O5" s="44" t="str">
        <x:v>Good V1 anchor; avoids a prominent protein/silicone bodying system.</x:v>
      </x:c>
      <x:c r="P5" s="45" t="str">
        <x:v>e4c58ea52931466454a08c09394696fcde74bd9b693832f9296791a6f94e62bc</x:v>
      </x:c>
    </x:row>
    <x:row r="6" ht="110" customHeight="1">
      <x:c r="A6" s="44" t="str">
        <x:v>P02</x:v>
      </x:c>
      <x:c r="B6" s="44" t="str">
        <x:v>John Frieda</x:v>
      </x:c>
      <x:c r="C6" s="44" t="str">
        <x:v>Volume Lift Shampoo</x:v>
      </x:c>
      <x:c r="D6" s="44" t="str">
        <x:v>Germany</x:v>
      </x:c>
      <x:c r="E6" s="44" t="n">
        <x:v>250</x:v>
      </x:c>
      <x:c r="F6" s="96" t="n">
        <x:v>5037156299106</x:v>
      </x:c>
      <x:c r="G6" s="44" t="str">
        <x:v>2026-07-31</x:v>
      </x:c>
      <x:c r="H6" s="44" t="str">
        <x:v>Volume hybrid: cleansing + protein/bodying film</x:v>
      </x:c>
      <x:c r="I6" s="44" t="str">
        <x:v>Volume, fullness, strand-plumping; silicone-free</x:v>
      </x:c>
      <x:c r="J6" s="44" t="str">
        <x:v>Positioned for fine/flat hair, fullness and lift, with a lightweight silicone-free formula and peptides/proteins.</x:v>
      </x:c>
      <x:c r="K6" s="44" t="str">
        <x:v>Water/Aqua/Eau, Sodium Laureth Sulfate, Coco-Glucoside, Sodium Chloride, Cocamidopropyl Betaine, Lactic Acid, Glyceryl Oleate, Sorbitan Caprylate, Guar Hydroxypropyltrimonium Chloride, Panthenol, Tetrasodium Glutamate Diacetate, Hydrolyzed Vegetable Protein, Hydrolyzed Rice Bran Protein, Hydrolyzed Soy Protein, Kappaphycus Alvarezii Extract, Laminaria Saccharina Extract, Citric Acid, Glycine, Ethylhexylglycerin, Sodium Benzoate, Phenoxyethanol, Fragrance/Parfum, Citrus Limon (Lemon) Peel Oil, Hexyl Cinnamal, Limonene, Pinene</x:v>
      </x:c>
      <x:c r="L6" s="44" t="str">
        <x:v>https://www.dm.de/p/d/3123431/john-frieda-shampoo-volume-lift</x:v>
      </x:c>
      <x:c r="M6" s="44" t="str">
        <x:v>https://www.dm.de/p/d/3123431/john-frieda-shampoo-volume-lift</x:v>
      </x:c>
      <x:c r="N6" s="44" t="str">
        <x:v>Retailer listing with GTIN + current INCI</x:v>
      </x:c>
      <x:c r="O6" s="44" t="str">
        <x:v>Tests whether reviewers distinguish V1 clean/light from V2 bodying-film support.</x:v>
      </x:c>
      <x:c r="P6" s="45" t="str">
        <x:v>23d199aa79acb4f38e9602bd97852e7142e389592da78ccfab442e61c69f42e4</x:v>
      </x:c>
    </x:row>
    <x:row r="7" ht="110" customHeight="1">
      <x:c r="A7" s="44" t="str">
        <x:v>P03</x:v>
      </x:c>
      <x:c r="B7" s="44" t="str">
        <x:v>L'Oréal Paris Elvital</x:v>
      </x:c>
      <x:c r="C7" s="44" t="str">
        <x:v>Glycolic Gloss Shampoo</x:v>
      </x:c>
      <x:c r="D7" s="44" t="str">
        <x:v>Germany</x:v>
      </x:c>
      <x:c r="E7" s="44" t="n">
        <x:v>300</x:v>
      </x:c>
      <x:c r="F7" s="96" t="n">
        <x:v>3600524293543</x:v>
      </x:c>
      <x:c r="G7" s="44" t="str">
        <x:v>2026-07-31</x:v>
      </x:c>
      <x:c r="H7" s="44" t="str">
        <x:v>Shine anchor: silicone/cationic deposition versus hero-acid story</x:v>
      </x:c>
      <x:c r="I7" s="44" t="str">
        <x:v>Gloss and cuticle smoothing through glycolic acid</x:v>
      </x:c>
      <x:c r="J7" s="44" t="str">
        <x:v>Positioned for dull hair and mirror-like gloss; marketing foregrounds glycolic acid and surface smoothing.</x:v>
      </x:c>
      <x:c r="K7" s="44" t="str">
        <x:v>Aqua / Water, Sodium Laureth Sulfate, Glycol Distearate, Sodium Chloride, Cocamidopropyl Betaine, Dimethicone, Guar Hydroxypropyltrimonium Chloride, Cocamide MEA, Coco-Betaine, Sodium Benzoate, Sodium Hydroxide, Hydroxycitronellal, Steareth-6, Phenoxyethanol, Acetic Acid, PEG-100 Stearate, Trideceth-10, Trideceth-3, Salicylic Acid, Limonene, Fumaric Acid, Linalool, Pinene, Amodimethicone, Carbomer, Carvone, Geranyl Acetate, Citric Acid, Tetramethyl Acetyloctahydronaphthalenes, Citrus Limon Peel Oil, Hexylene Glycol, Hexyl Cinnamal, Glycolic Acid, Parfum / Fragrance</x:v>
      </x:c>
      <x:c r="L7" s="44" t="str">
        <x:v>https://www.dm.de/p/d/3138002/l-oreal-paris-elvital-shampoo-glycolic-gloss</x:v>
      </x:c>
      <x:c r="M7" s="44" t="str">
        <x:v>https://www.dm.de/p/d/3138002/l-oreal-paris-elvital-shampoo-glycolic-gloss</x:v>
      </x:c>
      <x:c r="N7" s="44" t="str">
        <x:v>Retailer listing with GTIN + current INCI</x:v>
      </x:c>
      <x:c r="O7" s="44" t="str">
        <x:v>Do not merge with the materially different German 200 ml formula. Pack size + GTIN are mandatory.</x:v>
      </x:c>
      <x:c r="P7" s="45" t="str">
        <x:v>8898ffbe1642d5c79e2946370c4fe87af0345c6c3139214e6436a394a67ca642</x:v>
      </x:c>
    </x:row>
    <x:row r="8" ht="110" customHeight="1">
      <x:c r="A8" s="44" t="str">
        <x:v>P04</x:v>
      </x:c>
      <x:c r="B8" s="44" t="str">
        <x:v>Balea Professional</x:v>
      </x:c>
      <x:c r="C8" s="44" t="str">
        <x:v>Shampoo Silberglanz</x:v>
      </x:c>
      <x:c r="D8" s="44" t="str">
        <x:v>Germany</x:v>
      </x:c>
      <x:c r="E8" s="44" t="n">
        <x:v>250</x:v>
      </x:c>
      <x:c r="F8" s="96" t="n">
        <x:v>4070765001426</x:v>
      </x:c>
      <x:c r="G8" s="44" t="str">
        <x:v>2026-07-31</x:v>
      </x:c>
      <x:c r="H8" s="44" t="str">
        <x:v>Optical/color-brightness anchor: toning is not the same as physical gloss</x:v>
      </x:c>
      <x:c r="I8" s="44" t="str">
        <x:v>Anti-yellow toning, color protection, care and shine</x:v>
      </x:c>
      <x:c r="J8" s="44" t="str">
        <x:v>Silver shampoo for color-treated/chemically treated hair; positioned for anti-yellow brightness, care and gloss.</x:v>
      </x:c>
      <x:c r="K8" s="44" t="str">
        <x:v>Aqua, Sodium Laureth Sulfate, Cocamidopropyl Betaine, Panthenol, Hydrolyzed Keratin, Salix Alba Bark Extract, Parfum, Glycerin, Propylene Glycol, Guar Hydroxypropyltrimonium Chloride, Disodium Cocoyl Glutamate, Sodium Cocoyl Glutamate, PEG-4 Rapeseedamide, Sodium Benzoate, Potassium Sorbate, Octadecyl Di-T-Butyl-4-Hydroxyhydrocinnamate, Citric Acid, Sodium Chloride, Sodium Hydroxide, Sodium Sulfate, CI 60730</x:v>
      </x:c>
      <x:c r="L8" s="44" t="str">
        <x:v>https://www.dm.de/p/d/1536163/balea-professional-shampoo-silberglanz</x:v>
      </x:c>
      <x:c r="M8" s="44" t="str">
        <x:v>https://www.dm.de/p/d/1536163/balea-professional-shampoo-silberglanz</x:v>
      </x:c>
      <x:c r="N8" s="44" t="str">
        <x:v>Retailer listing with GTIN + current INCI</x:v>
      </x:c>
      <x:c r="O8" s="44" t="str">
        <x:v>Designed to test S4 optical/color brightness separately from S1 physical surface gloss.</x:v>
      </x:c>
      <x:c r="P8" s="45" t="str">
        <x:v>3820772be117b6cd6f68cf484a16f749dde2294d118b330cb712708beb416ab0</x:v>
      </x:c>
    </x:row>
    <x:row r="9" ht="110" customHeight="1">
      <x:c r="A9" s="44" t="str">
        <x:v>P05</x:v>
      </x:c>
      <x:c r="B9" s="44" t="str">
        <x:v>Pantene Pro-V</x:v>
      </x:c>
      <x:c r="C9" s="44" t="str">
        <x:v>Shampoo Repair &amp; Care</x:v>
      </x:c>
      <x:c r="D9" s="44" t="str">
        <x:v>Germany</x:v>
      </x:c>
      <x:c r="E9" s="44" t="n">
        <x:v>300</x:v>
      </x:c>
      <x:c r="F9" s="96" t="n">
        <x:v>8700216422437</x:v>
      </x:c>
      <x:c r="G9" s="44" t="str">
        <x:v>2026-07-31</x:v>
      </x:c>
      <x:c r="H9" s="44" t="str">
        <x:v>Repair anchor: silicone-free but clearly conditioning</x:v>
      </x:c>
      <x:c r="I9" s="44" t="str">
        <x:v>Repair, anti-split-end care, gloss and bond protection</x:v>
      </x:c>
      <x:c r="J9" s="44" t="str">
        <x:v>Positioned for damage care, softness and shine; silicone-free; strongest public wording often refers to use with the range.</x:v>
      </x:c>
      <x:c r="K9" s="44" t="str">
        <x:v>Aqua, Sodium Laureth Sulfate, Sodium Citrate, Cocamidopropyl Betaine, Sodium Xylenesulfonate, Sodium Chloride, Stearyl Alcohol, Cocamide MEA, Glycol Distearate, Sodium Benzoate, Parfum, Glycerin, Citric Acid, Cetyl Alcohol, Sodium Salicylate, Guar Hydroxypropyltrimonium Chloride, Trihydroxystearin, Sodium Hydroxide, Panthenol, Polyquaternium-6, Hexamethylindanopyran, Tetrasodium EDTA, Dimethyl Phenethyl Acetate, Histidine, Hexyl Cinnamal, Tetramethyl Acetyloctahydronaphthalenes</x:v>
      </x:c>
      <x:c r="L9" s="44" t="str">
        <x:v>https://www.dm.de/p/d/1554189/pantene-pro-v-shampoo-repair-und-care</x:v>
      </x:c>
      <x:c r="M9" s="44" t="str">
        <x:v>https://www.dm.de/p/d/1554189/pantene-pro-v-shampoo-repair-und-care</x:v>
      </x:c>
      <x:c r="N9" s="44" t="str">
        <x:v>Retailer listing with GTIN + current INCI</x:v>
      </x:c>
      <x:c r="O9" s="44" t="str">
        <x:v>Tests the false rule silicone-free = non-conditioning; fatty alcohols + cationics matter.</x:v>
      </x:c>
      <x:c r="P9" s="45" t="str">
        <x:v>5a477a8a57f1241a0afd03efc48aa4d1485750d8138c86e117fbe06d36627eb1</x:v>
      </x:c>
    </x:row>
    <x:row r="10" ht="110" customHeight="1">
      <x:c r="A10" s="44" t="str">
        <x:v>P06</x:v>
      </x:c>
      <x:c r="B10" s="44" t="str">
        <x:v>OLAPLEX</x:v>
      </x:c>
      <x:c r="C10" s="44" t="str">
        <x:v>N°4 Bond Maintenance Shampoo</x:v>
      </x:c>
      <x:c r="D10" s="44" t="str">
        <x:v>Germany</x:v>
      </x:c>
      <x:c r="E10" s="44" t="n">
        <x:v>250</x:v>
      </x:c>
      <x:c r="F10" s="96" t="n">
        <x:v>850018802598</x:v>
      </x:c>
      <x:c r="G10" s="44" t="str">
        <x:v>2026-07-31</x:v>
      </x:c>
      <x:c r="H10" s="44" t="str">
        <x:v>Premium repair/bond hybrid with overlapping conditioning systems</x:v>
      </x:c>
      <x:c r="I10" s="44" t="str">
        <x:v>Reduced breakage, strength, hydration, smoothing and bond maintenance</x:v>
      </x:c>
      <x:c r="J10" s="44" t="str">
        <x:v>Claims reduced breakage, stronger and smoother hair, gentle cleansing and conditioning. Public quantified results are presented for a multi-product system.</x:v>
      </x:c>
      <x:c r="K10" s="44" t="str">
        <x:v>Water/Aqua/Eau,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Alketh-7, Laureth-9, Glycerin, Trideceth-12, C12-13 Alketh-23, C12-13 Alketh-3, Panthenol, Acetic Acid, Hydrolyzed Vegetable Protein PG-Propyl Silanetriol, Pentasodium Triphosphate, Glyoxal, Sodium Hydroxide, Helianthus Annuus (Sunflower) Seed Oil, Disodium EDTA, Tocopherol, Prunus Armeniaca (Apricot) Kernel Oil, Pseudozyma Epicola/Argania Spinosa Kernel Oil Ferment Filtrate, Pseudozyma Epicola/Camellia Sinensis Seed Oil Ferment Extract Filtrate, Quaternium-95, Propanediol, Helianthus Annuus (Sunflower) Seed Extract, PEG-8, Euterpe Oleracea Fruit Extract, Punica Granatum Extract, Rosmarinus Officinalis (Rosemary) Leaf Extract, Musa Sapientum (Banana) Fruit Extract, Origanum Vulgare Leaf Extract, Morinda Citrifolia Fruit Extract, Arctium Lappa Root Extract, PEG-8/SMDI Copolymer, Sodium Hyaluronate, Palmitoyl Myristyl Serinate, Sodium Polyacrylate, Pentaerythrityl Tetra-Di-T-Butyl Hydroxyhydrocinnamate, Biotin, Phenoxyethanol, Chlorphenesin, Benzoic Acid, Potassium Sorbate, Sodium Benzoate, Fragrance (Parfum), Hexyl Cinnamal, Limonene, Citral</x:v>
      </x:c>
      <x:c r="L10" s="44" t="str">
        <x:v>https://olaplex.de/products/olaplex-no-4-shampoo</x:v>
      </x:c>
      <x:c r="M10" s="44" t="str">
        <x:v>https://www.harotec.com/Olaplex-No.-4-Bond-Maintenance-Shampoo-250-ml/details_095.075.290_OL-20142598.htm</x:v>
      </x:c>
      <x:c r="N10" s="44" t="str">
        <x:v>Official formula/claims + German retailer GTIN</x:v>
      </x:c>
      <x:c r="O10" s="44" t="str">
        <x:v>Quantified public results are system-level (N°3 + N°4 + N°5), not clean shampoo-alone evidence.</x:v>
      </x:c>
      <x:c r="P10" s="45" t="str">
        <x:v>04b2ed83ec03051a16e5ab07c513daf0e1cef9c7fbfb197476c0d7c240805a89</x:v>
      </x:c>
    </x:row>
    <x:row r="11" ht="110" customHeight="1">
      <x:c r="A11" s="44" t="str">
        <x:v>P07</x:v>
      </x:c>
      <x:c r="B11" s="44" t="str">
        <x:v>OLAPLEX</x:v>
      </x:c>
      <x:c r="C11" s="44" t="str">
        <x:v>N°4C Bond Maintenance Clarifying Shampoo</x:v>
      </x:c>
      <x:c r="D11" s="44" t="str">
        <x:v>Germany</x:v>
      </x:c>
      <x:c r="E11" s="44" t="n">
        <x:v>250</x:v>
      </x:c>
      <x:c r="F11" s="96" t="n">
        <x:v>850018802765</x:v>
      </x:c>
      <x:c r="G11" s="44" t="str">
        <x:v>2026-07-31</x:v>
      </x:c>
      <x:c r="H11" s="44" t="str">
        <x:v>Strong clarifying/chelating anchor</x:v>
      </x:c>
      <x:c r="I11" s="44" t="str">
        <x:v>Removal of product residue, oil, chlorine, metals and hard-water minerals</x:v>
      </x:c>
      <x:c r="J11" s="44" t="str">
        <x:v>Weekly clarifying shampoo positioned to remove organic residue and inorganic/mineral contamination while maintaining softness.</x:v>
      </x:c>
      <x:c r="K11" s="44" t="str">
        <x:v>Water/Aqua/Eau,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Coco-Glucoside, Lauryl Glucoside, Panthenol, Trisodium Ethylenediamine Disuccinate, Ethylhexylglycerin, Polyquaternium-11, Sodium PCA, Pentasodium Triphosphate, Sodium Lactate, Arginine, Aspartic Acid, PCA, Citric Acid, Glycine, Alanine, Serine, Valine, Isoleucine, Proline, Threonine, Histidine, Phenylalanine, Phenoxyethanol, Chlorphenesin, Sodium Benzoate, Benzoic Acid, Fragrance (Parfum), Citral, Hexyl Cinnamal, Limonene</x:v>
      </x:c>
      <x:c r="L11" s="44" t="str">
        <x:v>https://olaplex.de/products/olaplex-n-4c-bond-maintenance-clarifying-shampoo</x:v>
      </x:c>
      <x:c r="M11" s="44" t="str">
        <x:v>https://www.hagel-shop.de/olaplex-no-4c-bond-maintenance-clarifying-shampoo-250-ml.html</x:v>
      </x:c>
      <x:c r="N11" s="44" t="str">
        <x:v>Official formula/claims + German retailer GTIN</x:v>
      </x:c>
      <x:c r="O11" s="44" t="str">
        <x:v>Best calibration anchor for separating organic clarification from inorganic chelation.</x:v>
      </x:c>
      <x:c r="P11" s="45" t="str">
        <x:v>52ed3ca7e51d649a63c890bce8a03efbf59cfd13c4d32d36c27ecfa946bb345f</x:v>
      </x:c>
    </x:row>
    <x:row r="12" ht="110" customHeight="1">
      <x:c r="A12" s="44" t="str">
        <x:v>P08</x:v>
      </x:c>
      <x:c r="B12" s="44" t="str">
        <x:v>Balea med</x:v>
      </x:c>
      <x:c r="C12" s="44" t="str">
        <x:v>Shampoo Ultra Sensitive</x:v>
      </x:c>
      <x:c r="D12" s="44" t="str">
        <x:v>Germany</x:v>
      </x:c>
      <x:c r="E12" s="44" t="n">
        <x:v>250</x:v>
      </x:c>
      <x:c r="F12" s="96" t="n">
        <x:v>4066447966008</x:v>
      </x:c>
      <x:c r="G12" s="44" t="str">
        <x:v>2026-07-31</x:v>
      </x:c>
      <x:c r="H12" s="44" t="str">
        <x:v>Sensitive/fragrance-free anchor</x:v>
      </x:c>
      <x:c r="I12" s="44" t="str">
        <x:v>Very gentle daily cleansing for sensitive scalp; 5% glycerin; fragrance-free</x:v>
      </x:c>
      <x:c r="J12" s="44" t="str">
        <x:v>Positioned for sensitive scalp and daily use, with 5% glycerin and no perfume, silicones or colorants.</x:v>
      </x:c>
      <x:c r="K12" s="44" t="str">
        <x:v>Aqua, Coco-Glucoside, Glycerin, Sodium Coco-Sulfate, Sodium Cocoamphoacetate, Citric Acid, Panthenol, Niacinamide, Tocopherol, Ascorbyl Palmitate, Glyceryl Oleate, Hydroxypropyl Guar Hydroxypropyltrimonium Chloride, Hydrogenated Palm Glycerides Citrate, Lecithin, Sodium Benzoate, Potassium Sorbate, Sodium Chloride, Sodium Hydroxide</x:v>
      </x:c>
      <x:c r="L12" s="44" t="str">
        <x:v>https://www.dm.de/p/d/1569035/balea-med-shampoo-ultra-sensitive</x:v>
      </x:c>
      <x:c r="M12" s="44" t="str">
        <x:v>https://www.dm.de/p/d/1569035/balea-med-shampoo-ultra-sensitive</x:v>
      </x:c>
      <x:c r="N12" s="44" t="str">
        <x:v>Retailer listing with GTIN + current INCI</x:v>
      </x:c>
      <x:c r="O12" s="44" t="str">
        <x:v>Tests whether reviewers keep fragrance exposure separate from cleansing/mildness potential.</x:v>
      </x:c>
      <x:c r="P12" s="45" t="str">
        <x:v>bc10793c112086a24625fc1b7d70ecb6d054d919d3fa4810b2c65f1e2d007f41</x:v>
      </x:c>
    </x:row>
    <x:row r="13" ht="110" customHeight="1">
      <x:c r="A13" s="44" t="str">
        <x:v>P09</x:v>
      </x:c>
      <x:c r="B13" s="44" t="str">
        <x:v>Cantu</x:v>
      </x:c>
      <x:c r="C13" s="44" t="str">
        <x:v>Cream Cleanse Shampoo</x:v>
      </x:c>
      <x:c r="D13" s="44" t="str">
        <x:v>Germany</x:v>
      </x:c>
      <x:c r="E13" s="44" t="n">
        <x:v>400</x:v>
      </x:c>
      <x:c r="F13" s="98" t="n">
        <x:v>810006945461</x:v>
      </x:c>
      <x:c r="G13" s="44" t="str">
        <x:v>2026-07-31</x:v>
      </x:c>
      <x:c r="H13" s="44" t="str">
        <x:v>Textured-hair and sulfate-free edge case: strong organic cleanser</x:v>
      </x:c>
      <x:c r="I13" s="44" t="str">
        <x:v>Gentle but thorough cleansing for textured hair; buildup removal; sulfate-free positioning</x:v>
      </x:c>
      <x:c r="J13" s="44" t="str">
        <x:v>Positioned for textured hair, buildup removal and gentle care; a second wash is suggested for heavy product accumulation.</x:v>
      </x:c>
      <x:c r="K13" s="44" t="str">
        <x:v>Aqua (Water), Sodium C14-16 Olefin Sulfonate, Cocamidopropyl Betaine, Cocamide DIPA, Glycerin, Acrylates Copolymer, Phenoxyethanol, PEG-150 Distearate, Parfum (Fragrance), Butyrospermum Parkii (Shea) Butter, Polyester-37, Sodium Hydroxide, Glycol Distearate, Panthenol (Vitamin B5), Guar Hydroxypropyltrimonium Chloride, Ethylhexylglycerin, Disodium EDTA, Steareth-4, Polyquaternium-39, Sodium Benzoate, Citric Acid, Polysorbate 20, Sodium Chloride, Tocopherol (Vitamin E), Benzyl Benzoate, Coumarin</x:v>
      </x:c>
      <x:c r="L13" s="44" t="str">
        <x:v>https://www.dm.de/p/d/1675020/cantu-shampoo-cream-cleanse</x:v>
      </x:c>
      <x:c r="M13" s="44" t="str">
        <x:v>https://www.dm.de/p/d/1675020/cantu-shampoo-cream-cleanse</x:v>
      </x:c>
      <x:c r="N13" s="44" t="str">
        <x:v>Retailer listing with GTIN + current INCI</x:v>
      </x:c>
      <x:c r="O13" s="44" t="str">
        <x:v>Tests the false rule sulfate-free = mild/low-cleansing; olefin sulfonate is the second ingredient.</x:v>
      </x:c>
      <x:c r="P13" s="45" t="str">
        <x:v>6cded477147742adfa7afd23d695783d423cd3e08980c21c79d225ce1b8de52b</x:v>
      </x:c>
    </x:row>
    <x:row r="14" ht="110" customHeight="1">
      <x:c r="A14" s="46" t="str">
        <x:v>P10</x:v>
      </x:c>
      <x:c r="B14" s="46" t="str">
        <x:v>Head &amp; Shoulders</x:v>
      </x:c>
      <x:c r="C14" s="46" t="str">
        <x:v>Anti-Schuppen Shampoo Classic Clean</x:v>
      </x:c>
      <x:c r="D14" s="46" t="str">
        <x:v>Germany</x:v>
      </x:c>
      <x:c r="E14" s="46" t="n">
        <x:v>500</x:v>
      </x:c>
      <x:c r="F14" s="100" t="n">
        <x:v>8001090896315</x:v>
      </x:c>
      <x:c r="G14" s="46" t="str">
        <x:v>2026-07-31</x:v>
      </x:c>
      <x:c r="H14" s="46" t="str">
        <x:v>Specialist boundary case: anti-dandruff active + silicone conditioning</x:v>
      </x:c>
      <x:c r="I14" s="46" t="str">
        <x:v>Anti-dandruff, itch/dryness control, daily suitability and care</x:v>
      </x:c>
      <x:c r="J14" s="46" t="str">
        <x:v>Positioned for recurrent dandruff and daily use, with anti-dandruff efficacy plus moisture/care claims.</x:v>
      </x:c>
      <x:c r="K14" s="46" t="str">
        <x:v>Aqua, Sodium Laureth Sulfate, Sodium Xylenesulfonate, Cocamidopropyl Betaine, Sodium Citrate, Parfum, Citric Acid, Cocamide MEA, Glycol Distearate, Piroctone Olamine, Dimethiconol, Sodium Chloride, Guar Hydroxypropyltrimonium Chloride, Dimethicone, Sodium Benzoate, TEA-Dodecylbenzenesulfonate, Sodium Salicylate, Hexyl Cinnamal, Linalool, Tetrasodium EDTA, Sodium Hydroxide, Trideceth-10, Glycerin, Niacinamide, Panthenol, Tocopheryl Acetate, Acetic Acid, Benzyl Alcohol, Triethylene Glycol, Propylene Glycol, CI 42090, CI 17200</x:v>
      </x:c>
      <x:c r="L14" s="46" t="str">
        <x:v>https://www.dm.de/p/d/1493055/head-und-shoulders-shampoo-anti-schuppen-classic-clean</x:v>
      </x:c>
      <x:c r="M14" s="46" t="str">
        <x:v>https://www.dm.de/p/d/1493055/head-und-shoulders-shampoo-anti-schuppen-classic-clean</x:v>
      </x:c>
      <x:c r="N14" s="46" t="str">
        <x:v>Retailer listing with GTIN + current INCI</x:v>
      </x:c>
      <x:c r="O14" s="46" t="str">
        <x:v>Base-shampoo properties can be scored; anti-dandruff efficacy requires a separate scalp/active module.</x:v>
      </x:c>
      <x:c r="P14" s="47" t="str">
        <x:v>42cf0f6432710171dad8e1f1411dbb836b630c948df521e6526712b5a162a41b</x:v>
      </x:c>
    </x:row>
  </x:sheetData>
  <x:mergeCells>
    <x:mergeCell ref="A1:P1"/>
    <x:mergeCell ref="A2:P2"/>
  </x:mergeCell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32" hidden="0" customWidth="1"/>
    <x:col min="3" max="3" width="36" hidden="0" customWidth="1"/>
    <x:col min="4" max="4" width="36"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1" hidden="0" customWidth="1"/>
    <x:col min="23" max="23" width="22" hidden="0" customWidth="1"/>
    <x:col min="24" max="24" width="40" hidden="0" customWidth="1"/>
    <x:col min="25" max="25" width="40" hidden="0" customWidth="1"/>
    <x:col min="26" max="26" width="48" hidden="0" customWidth="1"/>
    <x:col min="27" max="27" width="48" hidden="0" customWidth="1"/>
    <x:col min="28" max="28" width="52" hidden="0" customWidth="1"/>
  </x:cols>
  <x:sheetData>
    <x:row r="1" ht="34" customHeight="1">
      <x:c r="A1" s="4" t="str">
        <x:v>Reviewer 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row>
    <x:row r="2" ht="30" customHeight="1">
      <x:c r="A2" s="11" t="str">
        <x:v>Enter 0–4 formula-signal scores independently. Keep evidence, claim audit and user fit separate. Score cells are intentionally blank.</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row>
    <x:row r="4">
      <x:c r="E4" s="75" t="str">
        <x:v>Core architecture</x:v>
      </x:c>
      <x:c r="F4" s="75"/>
      <x:c r="G4" s="75"/>
      <x:c r="H4" s="75" t="str">
        <x:v>Shine routes</x:v>
      </x:c>
      <x:c r="I4" s="75"/>
      <x:c r="J4" s="75"/>
      <x:c r="K4" s="75"/>
      <x:c r="L4" s="75" t="str">
        <x:v>Volume routes</x:v>
      </x:c>
      <x:c r="M4" s="75"/>
      <x:c r="N4" s="75"/>
      <x:c r="O4" s="75" t="str">
        <x:v>Repair routes</x:v>
      </x:c>
      <x:c r="P4" s="75"/>
      <x:c r="Q4" s="75"/>
      <x:c r="R4" s="75"/>
      <x:c r="S4" s="75" t="str">
        <x:v>Clarification + mildness</x:v>
      </x:c>
      <x:c r="T4" s="75"/>
      <x:c r="U4" s="75"/>
    </x:row>
    <x:row r="5">
      <x:c r="A5" s="24" t="str">
        <x:v>ID</x:v>
      </x:c>
      <x:c r="B5" s="67" t="str">
        <x:v>Product</x:v>
      </x:c>
      <x:c r="C5" s="67" t="str">
        <x:v>Dominant claim</x:v>
      </x:c>
      <x:c r="D5" s="67" t="str">
        <x:v>Scope / specialist note</x:v>
      </x:c>
      <x:c r="E5" s="67" t="str">
        <x:v>CLN</x:v>
      </x:c>
      <x:c r="F5" s="67" t="str">
        <x:v>COND</x:v>
      </x:c>
      <x:c r="G5" s="67" t="str">
        <x:v>WT</x:v>
      </x:c>
      <x:c r="H5" s="67" t="str">
        <x:v>S1</x:v>
      </x:c>
      <x:c r="I5" s="67" t="str">
        <x:v>S2</x:v>
      </x:c>
      <x:c r="J5" s="67" t="str">
        <x:v>S3</x:v>
      </x:c>
      <x:c r="K5" s="67" t="str">
        <x:v>S4</x:v>
      </x:c>
      <x:c r="L5" s="67" t="str">
        <x:v>V1</x:v>
      </x:c>
      <x:c r="M5" s="67" t="str">
        <x:v>V2</x:v>
      </x:c>
      <x:c r="N5" s="67" t="str">
        <x:v>V3</x:v>
      </x:c>
      <x:c r="O5" s="67" t="str">
        <x:v>R1</x:v>
      </x:c>
      <x:c r="P5" s="67" t="str">
        <x:v>R2</x:v>
      </x:c>
      <x:c r="Q5" s="67" t="str">
        <x:v>R3</x:v>
      </x:c>
      <x:c r="R5" s="67" t="str">
        <x:v>R4</x:v>
      </x:c>
      <x:c r="S5" s="67" t="str">
        <x:v>OC</x:v>
      </x:c>
      <x:c r="T5" s="67" t="str">
        <x:v>IC</x:v>
      </x:c>
      <x:c r="U5" s="67" t="str">
        <x:v>MILD</x:v>
      </x:c>
      <x:c r="V5" s="67" t="str">
        <x:v>Evidence</x:v>
      </x:c>
      <x:c r="W5" s="67" t="str">
        <x:v>Claim audit</x:v>
      </x:c>
      <x:c r="X5" s="67" t="str">
        <x:v>Best fit</x:v>
      </x:c>
      <x:c r="Y5" s="67" t="str">
        <x:v>Less suited</x:v>
      </x:c>
      <x:c r="Z5" s="67" t="str">
        <x:v>Key formula support</x:v>
      </x:c>
      <x:c r="AA5" s="67" t="str">
        <x:v>Key counter-signal</x:v>
      </x:c>
      <x:c r="AB5" s="25" t="str">
        <x:v>Final verdict</x:v>
      </x:c>
    </x:row>
    <x:row r="6" ht="82" customHeight="1">
      <x:c r="A6" s="44" t="str">
        <x:v>P01</x:v>
      </x:c>
      <x:c r="B6" s="44" t="str">
        <x:v>Balea — Shampoo Volumen</x:v>
      </x:c>
      <x:c r="C6" s="44" t="str">
        <x:v>Volume for fine/thin hair; silicone-free</x:v>
      </x:c>
      <x:c r="D6" s="44" t="str"/>
      <x:c r="E6" s="44" t="str"/>
      <x:c r="F6" s="44" t="str"/>
      <x:c r="G6" s="44" t="str"/>
      <x:c r="H6" s="44" t="str"/>
      <x:c r="I6" s="44" t="str"/>
      <x:c r="J6" s="44" t="str"/>
      <x:c r="K6" s="44" t="str"/>
      <x:c r="L6" s="44" t="str"/>
      <x:c r="M6" s="44" t="str"/>
      <x:c r="N6" s="44" t="str"/>
      <x:c r="O6" s="44" t="str"/>
      <x:c r="P6" s="44" t="str"/>
      <x:c r="Q6" s="44" t="str"/>
      <x:c r="R6" s="44" t="str"/>
      <x:c r="S6" s="44" t="str"/>
      <x:c r="T6" s="44" t="str"/>
      <x:c r="U6" s="44" t="str"/>
      <x:c r="V6" s="44" t="str"/>
      <x:c r="W6" s="44" t="str"/>
      <x:c r="X6" s="44" t="str"/>
      <x:c r="Y6" s="44" t="str"/>
      <x:c r="Z6" s="44" t="str"/>
      <x:c r="AA6" s="44" t="str"/>
      <x:c r="AB6" s="45" t="str"/>
    </x:row>
    <x:row r="7" ht="82" customHeight="1">
      <x:c r="A7" s="44" t="str">
        <x:v>P02</x:v>
      </x:c>
      <x:c r="B7" s="44" t="str">
        <x:v>John Frieda — Volume Lift Shampoo</x:v>
      </x:c>
      <x:c r="C7" s="44" t="str">
        <x:v>Volume, fullness, strand-plumping; silicone-free</x:v>
      </x:c>
      <x:c r="D7" s="44" t="str"/>
      <x:c r="E7" s="44" t="str"/>
      <x:c r="F7" s="44" t="str"/>
      <x:c r="G7" s="44" t="str"/>
      <x:c r="H7" s="44" t="str"/>
      <x:c r="I7" s="44" t="str"/>
      <x:c r="J7" s="44" t="str"/>
      <x:c r="K7" s="44" t="str"/>
      <x:c r="L7" s="44" t="str"/>
      <x:c r="M7" s="44" t="str"/>
      <x:c r="N7" s="44" t="str"/>
      <x:c r="O7" s="44" t="str"/>
      <x:c r="P7" s="44" t="str"/>
      <x:c r="Q7" s="44" t="str"/>
      <x:c r="R7" s="44" t="str"/>
      <x:c r="S7" s="44" t="str"/>
      <x:c r="T7" s="44" t="str"/>
      <x:c r="U7" s="44" t="str"/>
      <x:c r="V7" s="44" t="str"/>
      <x:c r="W7" s="44" t="str"/>
      <x:c r="X7" s="44" t="str"/>
      <x:c r="Y7" s="44" t="str"/>
      <x:c r="Z7" s="44" t="str"/>
      <x:c r="AA7" s="44" t="str"/>
      <x:c r="AB7" s="45" t="str"/>
    </x:row>
    <x:row r="8" ht="82" customHeight="1">
      <x:c r="A8" s="44" t="str">
        <x:v>P03</x:v>
      </x:c>
      <x:c r="B8" s="44" t="str">
        <x:v>L'Oréal Paris Elvital — Glycolic Gloss Shampoo</x:v>
      </x:c>
      <x:c r="C8" s="44" t="str">
        <x:v>Gloss and cuticle smoothing through glycolic acid</x:v>
      </x:c>
      <x:c r="D8" s="44" t="str"/>
      <x:c r="E8" s="44" t="str"/>
      <x:c r="F8" s="44" t="str"/>
      <x:c r="G8" s="44" t="str"/>
      <x:c r="H8" s="44" t="str"/>
      <x:c r="I8" s="44" t="str"/>
      <x:c r="J8" s="44" t="str"/>
      <x:c r="K8" s="44" t="str"/>
      <x:c r="L8" s="44" t="str"/>
      <x:c r="M8" s="44" t="str"/>
      <x:c r="N8" s="44" t="str"/>
      <x:c r="O8" s="44" t="str"/>
      <x:c r="P8" s="44" t="str"/>
      <x:c r="Q8" s="44" t="str"/>
      <x:c r="R8" s="44" t="str"/>
      <x:c r="S8" s="44" t="str"/>
      <x:c r="T8" s="44" t="str"/>
      <x:c r="U8" s="44" t="str"/>
      <x:c r="V8" s="44" t="str"/>
      <x:c r="W8" s="44" t="str"/>
      <x:c r="X8" s="44" t="str"/>
      <x:c r="Y8" s="44" t="str"/>
      <x:c r="Z8" s="44" t="str"/>
      <x:c r="AA8" s="44" t="str"/>
      <x:c r="AB8" s="45" t="str"/>
    </x:row>
    <x:row r="9" ht="82" customHeight="1">
      <x:c r="A9" s="44" t="str">
        <x:v>P04</x:v>
      </x:c>
      <x:c r="B9" s="44" t="str">
        <x:v>Balea Professional — Shampoo Silberglanz</x:v>
      </x:c>
      <x:c r="C9" s="44" t="str">
        <x:v>Anti-yellow toning, color protection, care and shine</x:v>
      </x:c>
      <x:c r="D9" s="44" t="str"/>
      <x:c r="E9" s="44" t="str"/>
      <x:c r="F9" s="44" t="str"/>
      <x:c r="G9" s="44" t="str"/>
      <x:c r="H9" s="44" t="str"/>
      <x:c r="I9" s="44" t="str"/>
      <x:c r="J9" s="44" t="str"/>
      <x:c r="K9" s="44" t="str"/>
      <x:c r="L9" s="44" t="str"/>
      <x:c r="M9" s="44" t="str"/>
      <x:c r="N9" s="44" t="str"/>
      <x:c r="O9" s="44" t="str"/>
      <x:c r="P9" s="44" t="str"/>
      <x:c r="Q9" s="44" t="str"/>
      <x:c r="R9" s="44" t="str"/>
      <x:c r="S9" s="44" t="str"/>
      <x:c r="T9" s="44" t="str"/>
      <x:c r="U9" s="44" t="str"/>
      <x:c r="V9" s="44" t="str"/>
      <x:c r="W9" s="44" t="str"/>
      <x:c r="X9" s="44" t="str"/>
      <x:c r="Y9" s="44" t="str"/>
      <x:c r="Z9" s="44" t="str"/>
      <x:c r="AA9" s="44" t="str"/>
      <x:c r="AB9" s="45" t="str"/>
    </x:row>
    <x:row r="10" ht="82" customHeight="1">
      <x:c r="A10" s="44" t="str">
        <x:v>P05</x:v>
      </x:c>
      <x:c r="B10" s="44" t="str">
        <x:v>Pantene Pro-V — Shampoo Repair &amp; Care</x:v>
      </x:c>
      <x:c r="C10" s="44" t="str">
        <x:v>Repair, anti-split-end care, gloss and bond protection</x:v>
      </x:c>
      <x:c r="D10" s="44" t="str"/>
      <x:c r="E10" s="44" t="str"/>
      <x:c r="F10" s="44" t="str"/>
      <x:c r="G10" s="44" t="str"/>
      <x:c r="H10" s="44" t="str"/>
      <x:c r="I10" s="44" t="str"/>
      <x:c r="J10" s="44" t="str"/>
      <x:c r="K10" s="44" t="str"/>
      <x:c r="L10" s="44" t="str"/>
      <x:c r="M10" s="44" t="str"/>
      <x:c r="N10" s="44" t="str"/>
      <x:c r="O10" s="44" t="str"/>
      <x:c r="P10" s="44" t="str"/>
      <x:c r="Q10" s="44" t="str"/>
      <x:c r="R10" s="44" t="str"/>
      <x:c r="S10" s="44" t="str"/>
      <x:c r="T10" s="44" t="str"/>
      <x:c r="U10" s="44" t="str"/>
      <x:c r="V10" s="44" t="str"/>
      <x:c r="W10" s="44" t="str"/>
      <x:c r="X10" s="44" t="str"/>
      <x:c r="Y10" s="44" t="str"/>
      <x:c r="Z10" s="44" t="str"/>
      <x:c r="AA10" s="44" t="str"/>
      <x:c r="AB10" s="45" t="str"/>
    </x:row>
    <x:row r="11" ht="82" customHeight="1">
      <x:c r="A11" s="44" t="str">
        <x:v>P06</x:v>
      </x:c>
      <x:c r="B11" s="44" t="str">
        <x:v>OLAPLEX — N°4 Bond Maintenance Shampoo</x:v>
      </x:c>
      <x:c r="C11" s="44" t="str">
        <x:v>Reduced breakage, strength, hydration, smoothing and bond maintenance</x:v>
      </x:c>
      <x:c r="D11" s="44" t="str"/>
      <x:c r="E11" s="44" t="str"/>
      <x:c r="F11" s="44" t="str"/>
      <x:c r="G11" s="44" t="str"/>
      <x:c r="H11" s="44" t="str"/>
      <x:c r="I11" s="44" t="str"/>
      <x:c r="J11" s="44" t="str"/>
      <x:c r="K11" s="44" t="str"/>
      <x:c r="L11" s="44" t="str"/>
      <x:c r="M11" s="44" t="str"/>
      <x:c r="N11" s="44" t="str"/>
      <x:c r="O11" s="44" t="str"/>
      <x:c r="P11" s="44" t="str"/>
      <x:c r="Q11" s="44" t="str"/>
      <x:c r="R11" s="44" t="str"/>
      <x:c r="S11" s="44" t="str"/>
      <x:c r="T11" s="44" t="str"/>
      <x:c r="U11" s="44" t="str"/>
      <x:c r="V11" s="44" t="str"/>
      <x:c r="W11" s="44" t="str"/>
      <x:c r="X11" s="44" t="str"/>
      <x:c r="Y11" s="44" t="str"/>
      <x:c r="Z11" s="44" t="str"/>
      <x:c r="AA11" s="44" t="str"/>
      <x:c r="AB11" s="45" t="str"/>
    </x:row>
    <x:row r="12" ht="82" customHeight="1">
      <x:c r="A12" s="44" t="str">
        <x:v>P07</x:v>
      </x:c>
      <x:c r="B12" s="44" t="str">
        <x:v>OLAPLEX — N°4C Bond Maintenance Clarifying Shampoo</x:v>
      </x:c>
      <x:c r="C12" s="44" t="str">
        <x:v>Removal of product residue, oil, chlorine, metals and hard-water minerals</x:v>
      </x:c>
      <x:c r="D12" s="44" t="str"/>
      <x:c r="E12" s="44" t="str"/>
      <x:c r="F12" s="44" t="str"/>
      <x:c r="G12" s="44" t="str"/>
      <x:c r="H12" s="44" t="str"/>
      <x:c r="I12" s="44" t="str"/>
      <x:c r="J12" s="44" t="str"/>
      <x:c r="K12" s="44" t="str"/>
      <x:c r="L12" s="44" t="str"/>
      <x:c r="M12" s="44" t="str"/>
      <x:c r="N12" s="44" t="str"/>
      <x:c r="O12" s="44" t="str"/>
      <x:c r="P12" s="44" t="str"/>
      <x:c r="Q12" s="44" t="str"/>
      <x:c r="R12" s="44" t="str"/>
      <x:c r="S12" s="44" t="str"/>
      <x:c r="T12" s="44" t="str"/>
      <x:c r="U12" s="44" t="str"/>
      <x:c r="V12" s="44" t="str"/>
      <x:c r="W12" s="44" t="str"/>
      <x:c r="X12" s="44" t="str"/>
      <x:c r="Y12" s="44" t="str"/>
      <x:c r="Z12" s="44" t="str"/>
      <x:c r="AA12" s="44" t="str"/>
      <x:c r="AB12" s="45" t="str"/>
    </x:row>
    <x:row r="13" ht="82" customHeight="1">
      <x:c r="A13" s="44" t="str">
        <x:v>P08</x:v>
      </x:c>
      <x:c r="B13" s="44" t="str">
        <x:v>Balea med — Shampoo Ultra Sensitive</x:v>
      </x:c>
      <x:c r="C13" s="44" t="str">
        <x:v>Very gentle daily cleansing for sensitive scalp; 5% glycerin; fragrance-free</x:v>
      </x:c>
      <x:c r="D13" s="44" t="str"/>
      <x:c r="E13" s="44" t="str"/>
      <x:c r="F13" s="44" t="str"/>
      <x:c r="G13" s="44" t="str"/>
      <x:c r="H13" s="44" t="str"/>
      <x:c r="I13" s="44" t="str"/>
      <x:c r="J13" s="44" t="str"/>
      <x:c r="K13" s="44" t="str"/>
      <x:c r="L13" s="44" t="str"/>
      <x:c r="M13" s="44" t="str"/>
      <x:c r="N13" s="44" t="str"/>
      <x:c r="O13" s="44" t="str"/>
      <x:c r="P13" s="44" t="str"/>
      <x:c r="Q13" s="44" t="str"/>
      <x:c r="R13" s="44" t="str"/>
      <x:c r="S13" s="44" t="str"/>
      <x:c r="T13" s="44" t="str"/>
      <x:c r="U13" s="44" t="str"/>
      <x:c r="V13" s="44" t="str"/>
      <x:c r="W13" s="44" t="str"/>
      <x:c r="X13" s="44" t="str"/>
      <x:c r="Y13" s="44" t="str"/>
      <x:c r="Z13" s="44" t="str"/>
      <x:c r="AA13" s="44" t="str"/>
      <x:c r="AB13" s="45" t="str"/>
    </x:row>
    <x:row r="14" ht="82" customHeight="1">
      <x:c r="A14" s="44" t="str">
        <x:v>P09</x:v>
      </x:c>
      <x:c r="B14" s="44" t="str">
        <x:v>Cantu — Cream Cleanse Shampoo</x:v>
      </x:c>
      <x:c r="C14" s="44" t="str">
        <x:v>Gentle but thorough cleansing for textured hair; buildup removal; sulfate-free positioning</x:v>
      </x:c>
      <x:c r="D14" s="44" t="str"/>
      <x:c r="E14" s="44" t="str"/>
      <x:c r="F14" s="44" t="str"/>
      <x:c r="G14" s="44" t="str"/>
      <x:c r="H14" s="44" t="str"/>
      <x:c r="I14" s="44" t="str"/>
      <x:c r="J14" s="44" t="str"/>
      <x:c r="K14" s="44" t="str"/>
      <x:c r="L14" s="44" t="str"/>
      <x:c r="M14" s="44" t="str"/>
      <x:c r="N14" s="44" t="str"/>
      <x:c r="O14" s="44" t="str"/>
      <x:c r="P14" s="44" t="str"/>
      <x:c r="Q14" s="44" t="str"/>
      <x:c r="R14" s="44" t="str"/>
      <x:c r="S14" s="44" t="str"/>
      <x:c r="T14" s="44" t="str"/>
      <x:c r="U14" s="44" t="str"/>
      <x:c r="V14" s="44" t="str"/>
      <x:c r="W14" s="44" t="str"/>
      <x:c r="X14" s="44" t="str"/>
      <x:c r="Y14" s="44" t="str"/>
      <x:c r="Z14" s="44" t="str"/>
      <x:c r="AA14" s="44" t="str"/>
      <x:c r="AB14" s="45" t="str"/>
    </x:row>
    <x:row r="15" ht="82" customHeight="1">
      <x:c r="A15" s="46" t="str">
        <x:v>P10</x:v>
      </x:c>
      <x:c r="B15" s="46" t="str">
        <x:v>Head &amp; Shoulders — Anti-Schuppen Shampoo Classic Clean</x:v>
      </x:c>
      <x:c r="C15" s="46" t="str">
        <x:v>Anti-dandruff, itch/dryness control, daily suitability and care</x:v>
      </x:c>
      <x:c r="D15" s="46" t="str">
        <x:v>Base-shampoo properties can be scored; anti-dandruff efficacy requires a separate scalp/active module.</x:v>
      </x:c>
      <x:c r="E15" s="46" t="str"/>
      <x:c r="F15" s="46" t="str"/>
      <x:c r="G15" s="46" t="str"/>
      <x:c r="H15" s="46" t="str"/>
      <x:c r="I15" s="46" t="str"/>
      <x:c r="J15" s="46" t="str"/>
      <x:c r="K15" s="46" t="str"/>
      <x:c r="L15" s="46" t="str"/>
      <x:c r="M15" s="46" t="str"/>
      <x:c r="N15" s="46" t="str"/>
      <x:c r="O15" s="46" t="str"/>
      <x:c r="P15" s="46" t="str"/>
      <x:c r="Q15" s="46" t="str"/>
      <x:c r="R15" s="46" t="str"/>
      <x:c r="S15" s="46" t="str"/>
      <x:c r="T15" s="46" t="str"/>
      <x:c r="U15" s="46" t="str"/>
      <x:c r="V15" s="46" t="str"/>
      <x:c r="W15" s="46" t="str"/>
      <x:c r="X15" s="46" t="str"/>
      <x:c r="Y15" s="46" t="str"/>
      <x:c r="Z15" s="46" t="str"/>
      <x:c r="AA15" s="46" t="str"/>
      <x:c r="AB15" s="47" t="str"/>
    </x:row>
  </x:sheetData>
  <x:mergeCells>
    <x:mergeCell ref="A1:AB1"/>
    <x:mergeCell ref="A2:AB2"/>
    <x:mergeCell ref="E4:G4"/>
    <x:mergeCell ref="H4:K4"/>
    <x:mergeCell ref="L4:N4"/>
    <x:mergeCell ref="O4:R4"/>
    <x:mergeCell ref="S4:U4"/>
  </x:mergeCells>
  <x:conditionalFormatting sqref="E6:U15">
    <x:cfRule type="colorScale" priority="1">
      <x:colorScale>
        <x:cfvo type="min"/>
        <x:cfvo type="percentile" val="50"/>
        <x:cfvo type="max"/>
        <x:color rgb="FFF7F7F7"/>
        <x:color rgb="FFF3E7BD"/>
        <x:color rgb="FF7AC8BC"/>
      </x:colorScale>
    </x:cfRule>
  </x:conditionalFormatting>
  <x:dataValidations count="3">
    <x:dataValidation type="list" sqref="E6:U15">
      <x:formula1>"0,1,2,3,4"</x:formula1>
    </x:dataValidation>
    <x:dataValidation type="list" sqref="V6:V15">
      <x:formula1>"E0,E1,E2,E3,E4,E5"</x:formula1>
    </x:dataValidation>
    <x:dataValidation type="list" sqref="W6:W15">
      <x:formula1>"Supported,Partially supported,Indeterminate,Weakly supported,Specialist review required"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7" hidden="0" customWidth="1"/>
    <x:col min="2" max="2" width="32" hidden="0" customWidth="1"/>
    <x:col min="3" max="3" width="36" hidden="0" customWidth="1"/>
    <x:col min="4" max="4" width="36"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1" hidden="0" customWidth="1"/>
    <x:col min="23" max="23" width="22" hidden="0" customWidth="1"/>
    <x:col min="24" max="24" width="40" hidden="0" customWidth="1"/>
    <x:col min="25" max="25" width="40" hidden="0" customWidth="1"/>
    <x:col min="26" max="26" width="48" hidden="0" customWidth="1"/>
    <x:col min="27" max="27" width="48" hidden="0" customWidth="1"/>
    <x:col min="28" max="28" width="52" hidden="0" customWidth="1"/>
  </x:cols>
  <x:sheetData>
    <x:row r="1" ht="34" customHeight="1">
      <x:c r="A1" s="4" t="str">
        <x:v>Reviewer B</x:v>
      </x:c>
      <x:c r="B1" s="4"/>
      <x:c r="C1" s="4"/>
      <x:c r="D1" s="4"/>
      <x:c r="E1" s="4"/>
      <x:c r="F1" s="4"/>
      <x:c r="G1" s="4"/>
      <x:c r="H1" s="4"/>
      <x:c r="I1" s="4"/>
      <x:c r="J1" s="4"/>
      <x:c r="K1" s="4"/>
      <x:c r="L1" s="4"/>
      <x:c r="M1" s="4"/>
      <x:c r="N1" s="4"/>
      <x:c r="O1" s="4"/>
      <x:c r="P1" s="4"/>
      <x:c r="Q1" s="4"/>
      <x:c r="R1" s="4"/>
      <x:c r="S1" s="4"/>
      <x:c r="T1" s="4"/>
      <x:c r="U1" s="4"/>
      <x:c r="V1" s="4"/>
      <x:c r="W1" s="4"/>
      <x:c r="X1" s="4"/>
      <x:c r="Y1" s="4"/>
      <x:c r="Z1" s="4"/>
      <x:c r="AA1" s="4"/>
      <x:c r="AB1" s="4"/>
    </x:row>
    <x:row r="2" ht="30" customHeight="1">
      <x:c r="A2" s="11" t="str">
        <x:v>Enter 0–4 formula-signal scores independently. Keep evidence, claim audit and user fit separate. Score cells are intentionally blank.</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row>
    <x:row r="4">
      <x:c r="E4" s="75" t="str">
        <x:v>Core architecture</x:v>
      </x:c>
      <x:c r="F4" s="75"/>
      <x:c r="G4" s="75"/>
      <x:c r="H4" s="75" t="str">
        <x:v>Shine routes</x:v>
      </x:c>
      <x:c r="I4" s="75"/>
      <x:c r="J4" s="75"/>
      <x:c r="K4" s="75"/>
      <x:c r="L4" s="75" t="str">
        <x:v>Volume routes</x:v>
      </x:c>
      <x:c r="M4" s="75"/>
      <x:c r="N4" s="75"/>
      <x:c r="O4" s="75" t="str">
        <x:v>Repair routes</x:v>
      </x:c>
      <x:c r="P4" s="75"/>
      <x:c r="Q4" s="75"/>
      <x:c r="R4" s="75"/>
      <x:c r="S4" s="75" t="str">
        <x:v>Clarification + mildness</x:v>
      </x:c>
      <x:c r="T4" s="75"/>
      <x:c r="U4" s="75"/>
    </x:row>
    <x:row r="5">
      <x:c r="A5" s="24" t="str">
        <x:v>ID</x:v>
      </x:c>
      <x:c r="B5" s="67" t="str">
        <x:v>Product</x:v>
      </x:c>
      <x:c r="C5" s="67" t="str">
        <x:v>Dominant claim</x:v>
      </x:c>
      <x:c r="D5" s="67" t="str">
        <x:v>Scope / specialist note</x:v>
      </x:c>
      <x:c r="E5" s="67" t="str">
        <x:v>CLN</x:v>
      </x:c>
      <x:c r="F5" s="67" t="str">
        <x:v>COND</x:v>
      </x:c>
      <x:c r="G5" s="67" t="str">
        <x:v>WT</x:v>
      </x:c>
      <x:c r="H5" s="67" t="str">
        <x:v>S1</x:v>
      </x:c>
      <x:c r="I5" s="67" t="str">
        <x:v>S2</x:v>
      </x:c>
      <x:c r="J5" s="67" t="str">
        <x:v>S3</x:v>
      </x:c>
      <x:c r="K5" s="67" t="str">
        <x:v>S4</x:v>
      </x:c>
      <x:c r="L5" s="67" t="str">
        <x:v>V1</x:v>
      </x:c>
      <x:c r="M5" s="67" t="str">
        <x:v>V2</x:v>
      </x:c>
      <x:c r="N5" s="67" t="str">
        <x:v>V3</x:v>
      </x:c>
      <x:c r="O5" s="67" t="str">
        <x:v>R1</x:v>
      </x:c>
      <x:c r="P5" s="67" t="str">
        <x:v>R2</x:v>
      </x:c>
      <x:c r="Q5" s="67" t="str">
        <x:v>R3</x:v>
      </x:c>
      <x:c r="R5" s="67" t="str">
        <x:v>R4</x:v>
      </x:c>
      <x:c r="S5" s="67" t="str">
        <x:v>OC</x:v>
      </x:c>
      <x:c r="T5" s="67" t="str">
        <x:v>IC</x:v>
      </x:c>
      <x:c r="U5" s="67" t="str">
        <x:v>MILD</x:v>
      </x:c>
      <x:c r="V5" s="67" t="str">
        <x:v>Evidence</x:v>
      </x:c>
      <x:c r="W5" s="67" t="str">
        <x:v>Claim audit</x:v>
      </x:c>
      <x:c r="X5" s="67" t="str">
        <x:v>Best fit</x:v>
      </x:c>
      <x:c r="Y5" s="67" t="str">
        <x:v>Less suited</x:v>
      </x:c>
      <x:c r="Z5" s="67" t="str">
        <x:v>Key formula support</x:v>
      </x:c>
      <x:c r="AA5" s="67" t="str">
        <x:v>Key counter-signal</x:v>
      </x:c>
      <x:c r="AB5" s="25" t="str">
        <x:v>Final verdict</x:v>
      </x:c>
    </x:row>
    <x:row r="6" ht="82" customHeight="1">
      <x:c r="A6" s="44" t="str">
        <x:v>P01</x:v>
      </x:c>
      <x:c r="B6" s="44" t="str">
        <x:v>Balea — Shampoo Volumen</x:v>
      </x:c>
      <x:c r="C6" s="44" t="str">
        <x:v>Volume for fine/thin hair; silicone-free</x:v>
      </x:c>
      <x:c r="D6" s="44" t="str"/>
      <x:c r="E6" s="44" t="str"/>
      <x:c r="F6" s="44" t="str"/>
      <x:c r="G6" s="44" t="str"/>
      <x:c r="H6" s="44" t="str"/>
      <x:c r="I6" s="44" t="str"/>
      <x:c r="J6" s="44" t="str"/>
      <x:c r="K6" s="44" t="str"/>
      <x:c r="L6" s="44" t="str"/>
      <x:c r="M6" s="44" t="str"/>
      <x:c r="N6" s="44" t="str"/>
      <x:c r="O6" s="44" t="str"/>
      <x:c r="P6" s="44" t="str"/>
      <x:c r="Q6" s="44" t="str"/>
      <x:c r="R6" s="44" t="str"/>
      <x:c r="S6" s="44" t="str"/>
      <x:c r="T6" s="44" t="str"/>
      <x:c r="U6" s="44" t="str"/>
      <x:c r="V6" s="44" t="str"/>
      <x:c r="W6" s="44" t="str"/>
      <x:c r="X6" s="44" t="str"/>
      <x:c r="Y6" s="44" t="str"/>
      <x:c r="Z6" s="44" t="str"/>
      <x:c r="AA6" s="44" t="str"/>
      <x:c r="AB6" s="45" t="str"/>
    </x:row>
    <x:row r="7" ht="82" customHeight="1">
      <x:c r="A7" s="44" t="str">
        <x:v>P02</x:v>
      </x:c>
      <x:c r="B7" s="44" t="str">
        <x:v>John Frieda — Volume Lift Shampoo</x:v>
      </x:c>
      <x:c r="C7" s="44" t="str">
        <x:v>Volume, fullness, strand-plumping; silicone-free</x:v>
      </x:c>
      <x:c r="D7" s="44" t="str"/>
      <x:c r="E7" s="44" t="str"/>
      <x:c r="F7" s="44" t="str"/>
      <x:c r="G7" s="44" t="str"/>
      <x:c r="H7" s="44" t="str"/>
      <x:c r="I7" s="44" t="str"/>
      <x:c r="J7" s="44" t="str"/>
      <x:c r="K7" s="44" t="str"/>
      <x:c r="L7" s="44" t="str"/>
      <x:c r="M7" s="44" t="str"/>
      <x:c r="N7" s="44" t="str"/>
      <x:c r="O7" s="44" t="str"/>
      <x:c r="P7" s="44" t="str"/>
      <x:c r="Q7" s="44" t="str"/>
      <x:c r="R7" s="44" t="str"/>
      <x:c r="S7" s="44" t="str"/>
      <x:c r="T7" s="44" t="str"/>
      <x:c r="U7" s="44" t="str"/>
      <x:c r="V7" s="44" t="str"/>
      <x:c r="W7" s="44" t="str"/>
      <x:c r="X7" s="44" t="str"/>
      <x:c r="Y7" s="44" t="str"/>
      <x:c r="Z7" s="44" t="str"/>
      <x:c r="AA7" s="44" t="str"/>
      <x:c r="AB7" s="45" t="str"/>
    </x:row>
    <x:row r="8" ht="82" customHeight="1">
      <x:c r="A8" s="44" t="str">
        <x:v>P03</x:v>
      </x:c>
      <x:c r="B8" s="44" t="str">
        <x:v>L'Oréal Paris Elvital — Glycolic Gloss Shampoo</x:v>
      </x:c>
      <x:c r="C8" s="44" t="str">
        <x:v>Gloss and cuticle smoothing through glycolic acid</x:v>
      </x:c>
      <x:c r="D8" s="44" t="str"/>
      <x:c r="E8" s="44" t="str"/>
      <x:c r="F8" s="44" t="str"/>
      <x:c r="G8" s="44" t="str"/>
      <x:c r="H8" s="44" t="str"/>
      <x:c r="I8" s="44" t="str"/>
      <x:c r="J8" s="44" t="str"/>
      <x:c r="K8" s="44" t="str"/>
      <x:c r="L8" s="44" t="str"/>
      <x:c r="M8" s="44" t="str"/>
      <x:c r="N8" s="44" t="str"/>
      <x:c r="O8" s="44" t="str"/>
      <x:c r="P8" s="44" t="str"/>
      <x:c r="Q8" s="44" t="str"/>
      <x:c r="R8" s="44" t="str"/>
      <x:c r="S8" s="44" t="str"/>
      <x:c r="T8" s="44" t="str"/>
      <x:c r="U8" s="44" t="str"/>
      <x:c r="V8" s="44" t="str"/>
      <x:c r="W8" s="44" t="str"/>
      <x:c r="X8" s="44" t="str"/>
      <x:c r="Y8" s="44" t="str"/>
      <x:c r="Z8" s="44" t="str"/>
      <x:c r="AA8" s="44" t="str"/>
      <x:c r="AB8" s="45" t="str"/>
    </x:row>
    <x:row r="9" ht="82" customHeight="1">
      <x:c r="A9" s="44" t="str">
        <x:v>P04</x:v>
      </x:c>
      <x:c r="B9" s="44" t="str">
        <x:v>Balea Professional — Shampoo Silberglanz</x:v>
      </x:c>
      <x:c r="C9" s="44" t="str">
        <x:v>Anti-yellow toning, color protection, care and shine</x:v>
      </x:c>
      <x:c r="D9" s="44" t="str"/>
      <x:c r="E9" s="44" t="str"/>
      <x:c r="F9" s="44" t="str"/>
      <x:c r="G9" s="44" t="str"/>
      <x:c r="H9" s="44" t="str"/>
      <x:c r="I9" s="44" t="str"/>
      <x:c r="J9" s="44" t="str"/>
      <x:c r="K9" s="44" t="str"/>
      <x:c r="L9" s="44" t="str"/>
      <x:c r="M9" s="44" t="str"/>
      <x:c r="N9" s="44" t="str"/>
      <x:c r="O9" s="44" t="str"/>
      <x:c r="P9" s="44" t="str"/>
      <x:c r="Q9" s="44" t="str"/>
      <x:c r="R9" s="44" t="str"/>
      <x:c r="S9" s="44" t="str"/>
      <x:c r="T9" s="44" t="str"/>
      <x:c r="U9" s="44" t="str"/>
      <x:c r="V9" s="44" t="str"/>
      <x:c r="W9" s="44" t="str"/>
      <x:c r="X9" s="44" t="str"/>
      <x:c r="Y9" s="44" t="str"/>
      <x:c r="Z9" s="44" t="str"/>
      <x:c r="AA9" s="44" t="str"/>
      <x:c r="AB9" s="45" t="str"/>
    </x:row>
    <x:row r="10" ht="82" customHeight="1">
      <x:c r="A10" s="44" t="str">
        <x:v>P05</x:v>
      </x:c>
      <x:c r="B10" s="44" t="str">
        <x:v>Pantene Pro-V — Shampoo Repair &amp; Care</x:v>
      </x:c>
      <x:c r="C10" s="44" t="str">
        <x:v>Repair, anti-split-end care, gloss and bond protection</x:v>
      </x:c>
      <x:c r="D10" s="44" t="str"/>
      <x:c r="E10" s="44" t="str"/>
      <x:c r="F10" s="44" t="str"/>
      <x:c r="G10" s="44" t="str"/>
      <x:c r="H10" s="44" t="str"/>
      <x:c r="I10" s="44" t="str"/>
      <x:c r="J10" s="44" t="str"/>
      <x:c r="K10" s="44" t="str"/>
      <x:c r="L10" s="44" t="str"/>
      <x:c r="M10" s="44" t="str"/>
      <x:c r="N10" s="44" t="str"/>
      <x:c r="O10" s="44" t="str"/>
      <x:c r="P10" s="44" t="str"/>
      <x:c r="Q10" s="44" t="str"/>
      <x:c r="R10" s="44" t="str"/>
      <x:c r="S10" s="44" t="str"/>
      <x:c r="T10" s="44" t="str"/>
      <x:c r="U10" s="44" t="str"/>
      <x:c r="V10" s="44" t="str"/>
      <x:c r="W10" s="44" t="str"/>
      <x:c r="X10" s="44" t="str"/>
      <x:c r="Y10" s="44" t="str"/>
      <x:c r="Z10" s="44" t="str"/>
      <x:c r="AA10" s="44" t="str"/>
      <x:c r="AB10" s="45" t="str"/>
    </x:row>
    <x:row r="11" ht="82" customHeight="1">
      <x:c r="A11" s="44" t="str">
        <x:v>P06</x:v>
      </x:c>
      <x:c r="B11" s="44" t="str">
        <x:v>OLAPLEX — N°4 Bond Maintenance Shampoo</x:v>
      </x:c>
      <x:c r="C11" s="44" t="str">
        <x:v>Reduced breakage, strength, hydration, smoothing and bond maintenance</x:v>
      </x:c>
      <x:c r="D11" s="44" t="str"/>
      <x:c r="E11" s="44" t="str"/>
      <x:c r="F11" s="44" t="str"/>
      <x:c r="G11" s="44" t="str"/>
      <x:c r="H11" s="44" t="str"/>
      <x:c r="I11" s="44" t="str"/>
      <x:c r="J11" s="44" t="str"/>
      <x:c r="K11" s="44" t="str"/>
      <x:c r="L11" s="44" t="str"/>
      <x:c r="M11" s="44" t="str"/>
      <x:c r="N11" s="44" t="str"/>
      <x:c r="O11" s="44" t="str"/>
      <x:c r="P11" s="44" t="str"/>
      <x:c r="Q11" s="44" t="str"/>
      <x:c r="R11" s="44" t="str"/>
      <x:c r="S11" s="44" t="str"/>
      <x:c r="T11" s="44" t="str"/>
      <x:c r="U11" s="44" t="str"/>
      <x:c r="V11" s="44" t="str"/>
      <x:c r="W11" s="44" t="str"/>
      <x:c r="X11" s="44" t="str"/>
      <x:c r="Y11" s="44" t="str"/>
      <x:c r="Z11" s="44" t="str"/>
      <x:c r="AA11" s="44" t="str"/>
      <x:c r="AB11" s="45" t="str"/>
    </x:row>
    <x:row r="12" ht="82" customHeight="1">
      <x:c r="A12" s="44" t="str">
        <x:v>P07</x:v>
      </x:c>
      <x:c r="B12" s="44" t="str">
        <x:v>OLAPLEX — N°4C Bond Maintenance Clarifying Shampoo</x:v>
      </x:c>
      <x:c r="C12" s="44" t="str">
        <x:v>Removal of product residue, oil, chlorine, metals and hard-water minerals</x:v>
      </x:c>
      <x:c r="D12" s="44" t="str"/>
      <x:c r="E12" s="44" t="str"/>
      <x:c r="F12" s="44" t="str"/>
      <x:c r="G12" s="44" t="str"/>
      <x:c r="H12" s="44" t="str"/>
      <x:c r="I12" s="44" t="str"/>
      <x:c r="J12" s="44" t="str"/>
      <x:c r="K12" s="44" t="str"/>
      <x:c r="L12" s="44" t="str"/>
      <x:c r="M12" s="44" t="str"/>
      <x:c r="N12" s="44" t="str"/>
      <x:c r="O12" s="44" t="str"/>
      <x:c r="P12" s="44" t="str"/>
      <x:c r="Q12" s="44" t="str"/>
      <x:c r="R12" s="44" t="str"/>
      <x:c r="S12" s="44" t="str"/>
      <x:c r="T12" s="44" t="str"/>
      <x:c r="U12" s="44" t="str"/>
      <x:c r="V12" s="44" t="str"/>
      <x:c r="W12" s="44" t="str"/>
      <x:c r="X12" s="44" t="str"/>
      <x:c r="Y12" s="44" t="str"/>
      <x:c r="Z12" s="44" t="str"/>
      <x:c r="AA12" s="44" t="str"/>
      <x:c r="AB12" s="45" t="str"/>
    </x:row>
    <x:row r="13" ht="82" customHeight="1">
      <x:c r="A13" s="44" t="str">
        <x:v>P08</x:v>
      </x:c>
      <x:c r="B13" s="44" t="str">
        <x:v>Balea med — Shampoo Ultra Sensitive</x:v>
      </x:c>
      <x:c r="C13" s="44" t="str">
        <x:v>Very gentle daily cleansing for sensitive scalp; 5% glycerin; fragrance-free</x:v>
      </x:c>
      <x:c r="D13" s="44" t="str"/>
      <x:c r="E13" s="44" t="str"/>
      <x:c r="F13" s="44" t="str"/>
      <x:c r="G13" s="44" t="str"/>
      <x:c r="H13" s="44" t="str"/>
      <x:c r="I13" s="44" t="str"/>
      <x:c r="J13" s="44" t="str"/>
      <x:c r="K13" s="44" t="str"/>
      <x:c r="L13" s="44" t="str"/>
      <x:c r="M13" s="44" t="str"/>
      <x:c r="N13" s="44" t="str"/>
      <x:c r="O13" s="44" t="str"/>
      <x:c r="P13" s="44" t="str"/>
      <x:c r="Q13" s="44" t="str"/>
      <x:c r="R13" s="44" t="str"/>
      <x:c r="S13" s="44" t="str"/>
      <x:c r="T13" s="44" t="str"/>
      <x:c r="U13" s="44" t="str"/>
      <x:c r="V13" s="44" t="str"/>
      <x:c r="W13" s="44" t="str"/>
      <x:c r="X13" s="44" t="str"/>
      <x:c r="Y13" s="44" t="str"/>
      <x:c r="Z13" s="44" t="str"/>
      <x:c r="AA13" s="44" t="str"/>
      <x:c r="AB13" s="45" t="str"/>
    </x:row>
    <x:row r="14" ht="82" customHeight="1">
      <x:c r="A14" s="44" t="str">
        <x:v>P09</x:v>
      </x:c>
      <x:c r="B14" s="44" t="str">
        <x:v>Cantu — Cream Cleanse Shampoo</x:v>
      </x:c>
      <x:c r="C14" s="44" t="str">
        <x:v>Gentle but thorough cleansing for textured hair; buildup removal; sulfate-free positioning</x:v>
      </x:c>
      <x:c r="D14" s="44" t="str"/>
      <x:c r="E14" s="44" t="str"/>
      <x:c r="F14" s="44" t="str"/>
      <x:c r="G14" s="44" t="str"/>
      <x:c r="H14" s="44" t="str"/>
      <x:c r="I14" s="44" t="str"/>
      <x:c r="J14" s="44" t="str"/>
      <x:c r="K14" s="44" t="str"/>
      <x:c r="L14" s="44" t="str"/>
      <x:c r="M14" s="44" t="str"/>
      <x:c r="N14" s="44" t="str"/>
      <x:c r="O14" s="44" t="str"/>
      <x:c r="P14" s="44" t="str"/>
      <x:c r="Q14" s="44" t="str"/>
      <x:c r="R14" s="44" t="str"/>
      <x:c r="S14" s="44" t="str"/>
      <x:c r="T14" s="44" t="str"/>
      <x:c r="U14" s="44" t="str"/>
      <x:c r="V14" s="44" t="str"/>
      <x:c r="W14" s="44" t="str"/>
      <x:c r="X14" s="44" t="str"/>
      <x:c r="Y14" s="44" t="str"/>
      <x:c r="Z14" s="44" t="str"/>
      <x:c r="AA14" s="44" t="str"/>
      <x:c r="AB14" s="45" t="str"/>
    </x:row>
    <x:row r="15" ht="82" customHeight="1">
      <x:c r="A15" s="46" t="str">
        <x:v>P10</x:v>
      </x:c>
      <x:c r="B15" s="46" t="str">
        <x:v>Head &amp; Shoulders — Anti-Schuppen Shampoo Classic Clean</x:v>
      </x:c>
      <x:c r="C15" s="46" t="str">
        <x:v>Anti-dandruff, itch/dryness control, daily suitability and care</x:v>
      </x:c>
      <x:c r="D15" s="46" t="str">
        <x:v>Base-shampoo properties can be scored; anti-dandruff efficacy requires a separate scalp/active module.</x:v>
      </x:c>
      <x:c r="E15" s="46" t="str"/>
      <x:c r="F15" s="46" t="str"/>
      <x:c r="G15" s="46" t="str"/>
      <x:c r="H15" s="46" t="str"/>
      <x:c r="I15" s="46" t="str"/>
      <x:c r="J15" s="46" t="str"/>
      <x:c r="K15" s="46" t="str"/>
      <x:c r="L15" s="46" t="str"/>
      <x:c r="M15" s="46" t="str"/>
      <x:c r="N15" s="46" t="str"/>
      <x:c r="O15" s="46" t="str"/>
      <x:c r="P15" s="46" t="str"/>
      <x:c r="Q15" s="46" t="str"/>
      <x:c r="R15" s="46" t="str"/>
      <x:c r="S15" s="46" t="str"/>
      <x:c r="T15" s="46" t="str"/>
      <x:c r="U15" s="46" t="str"/>
      <x:c r="V15" s="46" t="str"/>
      <x:c r="W15" s="46" t="str"/>
      <x:c r="X15" s="46" t="str"/>
      <x:c r="Y15" s="46" t="str"/>
      <x:c r="Z15" s="46" t="str"/>
      <x:c r="AA15" s="46" t="str"/>
      <x:c r="AB15" s="47" t="str"/>
    </x:row>
  </x:sheetData>
  <x:mergeCells>
    <x:mergeCell ref="A1:AB1"/>
    <x:mergeCell ref="A2:AB2"/>
    <x:mergeCell ref="E4:G4"/>
    <x:mergeCell ref="H4:K4"/>
    <x:mergeCell ref="L4:N4"/>
    <x:mergeCell ref="O4:R4"/>
    <x:mergeCell ref="S4:U4"/>
  </x:mergeCells>
  <x:conditionalFormatting sqref="E6:U15">
    <x:cfRule type="colorScale" priority="1">
      <x:colorScale>
        <x:cfvo type="min"/>
        <x:cfvo type="percentile" val="50"/>
        <x:cfvo type="max"/>
        <x:color rgb="FFF7F7F7"/>
        <x:color rgb="FFF3E7BD"/>
        <x:color rgb="FF7AC8BC"/>
      </x:colorScale>
    </x:cfRule>
  </x:conditionalFormatting>
  <x:dataValidations count="3">
    <x:dataValidation type="list" sqref="E6:U15">
      <x:formula1>"0,1,2,3,4"</x:formula1>
    </x:dataValidation>
    <x:dataValidation type="list" sqref="V6:V15">
      <x:formula1>"E0,E1,E2,E3,E4,E5"</x:formula1>
    </x:dataValidation>
    <x:dataValidation type="list" sqref="W6:W15">
      <x:formula1>"Supported,Partially supported,Indeterminate,Weakly supported,Specialist review required"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32" hidden="0" customWidth="1"/>
    <x:col min="3" max="3" width="36" hidden="0" customWidth="1"/>
    <x:col min="4" max="4" width="36"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1" hidden="0" customWidth="1"/>
    <x:col min="23" max="23" width="22" hidden="0" customWidth="1"/>
    <x:col min="24" max="24" width="40" hidden="0" customWidth="1"/>
    <x:col min="25" max="25" width="40" hidden="0" customWidth="1"/>
    <x:col min="26" max="26" width="48" hidden="0" customWidth="1"/>
    <x:col min="27" max="27" width="48" hidden="0" customWidth="1"/>
    <x:col min="28" max="28" width="52" hidden="0" customWidth="1"/>
  </x:cols>
  <x:sheetData>
    <x:row r="1" ht="34" customHeight="1">
      <x:c r="A1" s="4" t="str">
        <x:v>Adjudicated reference key</x:v>
      </x:c>
      <x:c r="B1" s="4"/>
      <x:c r="C1" s="4"/>
      <x:c r="D1" s="4"/>
      <x:c r="E1" s="4"/>
      <x:c r="F1" s="4"/>
      <x:c r="G1" s="4"/>
      <x:c r="H1" s="4"/>
      <x:c r="I1" s="4"/>
      <x:c r="J1" s="4"/>
      <x:c r="K1" s="4"/>
      <x:c r="L1" s="4"/>
      <x:c r="M1" s="4"/>
      <x:c r="N1" s="4"/>
      <x:c r="O1" s="4"/>
      <x:c r="P1" s="4"/>
      <x:c r="Q1" s="4"/>
      <x:c r="R1" s="4"/>
      <x:c r="S1" s="4"/>
      <x:c r="T1" s="4"/>
      <x:c r="U1" s="4"/>
      <x:c r="V1" s="4"/>
      <x:c r="W1" s="4"/>
      <x:c r="X1" s="4"/>
      <x:c r="Y1" s="4"/>
      <x:c r="Z1" s="4"/>
      <x:c r="AA1" s="4"/>
      <x:c r="AB1" s="4"/>
    </x:row>
    <x:row r="2" ht="30" customHeight="1">
      <x:c r="A2" s="11" t="str">
        <x:v>A proposed v1.0 key for calibration—not ground truth. Open only after independent scoring, then use disagreements to improve score anchors and wording.</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row>
    <x:row r="4">
      <x:c r="E4" s="75" t="str">
        <x:v>Core architecture</x:v>
      </x:c>
      <x:c r="F4" s="75"/>
      <x:c r="G4" s="75"/>
      <x:c r="H4" s="75" t="str">
        <x:v>Shine routes</x:v>
      </x:c>
      <x:c r="I4" s="75"/>
      <x:c r="J4" s="75"/>
      <x:c r="K4" s="75"/>
      <x:c r="L4" s="75" t="str">
        <x:v>Volume routes</x:v>
      </x:c>
      <x:c r="M4" s="75"/>
      <x:c r="N4" s="75"/>
      <x:c r="O4" s="75" t="str">
        <x:v>Repair routes</x:v>
      </x:c>
      <x:c r="P4" s="75"/>
      <x:c r="Q4" s="75"/>
      <x:c r="R4" s="75"/>
      <x:c r="S4" s="75" t="str">
        <x:v>Clarification + mildness</x:v>
      </x:c>
      <x:c r="T4" s="75"/>
      <x:c r="U4" s="75"/>
    </x:row>
    <x:row r="5">
      <x:c r="A5" s="24" t="str">
        <x:v>ID</x:v>
      </x:c>
      <x:c r="B5" s="67" t="str">
        <x:v>Product</x:v>
      </x:c>
      <x:c r="C5" s="67" t="str">
        <x:v>Dominant claim</x:v>
      </x:c>
      <x:c r="D5" s="67" t="str">
        <x:v>Scope / specialist note</x:v>
      </x:c>
      <x:c r="E5" s="67" t="str">
        <x:v>CLN</x:v>
      </x:c>
      <x:c r="F5" s="67" t="str">
        <x:v>COND</x:v>
      </x:c>
      <x:c r="G5" s="67" t="str">
        <x:v>WT</x:v>
      </x:c>
      <x:c r="H5" s="67" t="str">
        <x:v>S1</x:v>
      </x:c>
      <x:c r="I5" s="67" t="str">
        <x:v>S2</x:v>
      </x:c>
      <x:c r="J5" s="67" t="str">
        <x:v>S3</x:v>
      </x:c>
      <x:c r="K5" s="67" t="str">
        <x:v>S4</x:v>
      </x:c>
      <x:c r="L5" s="67" t="str">
        <x:v>V1</x:v>
      </x:c>
      <x:c r="M5" s="67" t="str">
        <x:v>V2</x:v>
      </x:c>
      <x:c r="N5" s="67" t="str">
        <x:v>V3</x:v>
      </x:c>
      <x:c r="O5" s="67" t="str">
        <x:v>R1</x:v>
      </x:c>
      <x:c r="P5" s="67" t="str">
        <x:v>R2</x:v>
      </x:c>
      <x:c r="Q5" s="67" t="str">
        <x:v>R3</x:v>
      </x:c>
      <x:c r="R5" s="67" t="str">
        <x:v>R4</x:v>
      </x:c>
      <x:c r="S5" s="67" t="str">
        <x:v>OC</x:v>
      </x:c>
      <x:c r="T5" s="67" t="str">
        <x:v>IC</x:v>
      </x:c>
      <x:c r="U5" s="67" t="str">
        <x:v>MILD</x:v>
      </x:c>
      <x:c r="V5" s="67" t="str">
        <x:v>Evidence</x:v>
      </x:c>
      <x:c r="W5" s="67" t="str">
        <x:v>Claim audit</x:v>
      </x:c>
      <x:c r="X5" s="67" t="str">
        <x:v>Best fit</x:v>
      </x:c>
      <x:c r="Y5" s="67" t="str">
        <x:v>Less suited</x:v>
      </x:c>
      <x:c r="Z5" s="67" t="str">
        <x:v>Key formula support</x:v>
      </x:c>
      <x:c r="AA5" s="67" t="str">
        <x:v>Key counter-signal</x:v>
      </x:c>
      <x:c r="AB5" s="25" t="str">
        <x:v>Final verdict</x:v>
      </x:c>
    </x:row>
    <x:row r="6" ht="100" customHeight="1">
      <x:c r="A6" s="44" t="str">
        <x:v>P01</x:v>
      </x:c>
      <x:c r="B6" s="44" t="str">
        <x:v>Balea — Shampoo Volumen</x:v>
      </x:c>
      <x:c r="C6" s="44" t="str">
        <x:v>Volume for fine/thin hair; silicone-free</x:v>
      </x:c>
      <x:c r="D6" s="44" t="str"/>
      <x:c r="E6" s="44" t="n">
        <x:v>3</x:v>
      </x:c>
      <x:c r="F6" s="44" t="n">
        <x:v>1</x:v>
      </x:c>
      <x:c r="G6" s="44" t="n">
        <x:v>1</x:v>
      </x:c>
      <x:c r="H6" s="44" t="n">
        <x:v>1</x:v>
      </x:c>
      <x:c r="I6" s="44" t="n">
        <x:v>0</x:v>
      </x:c>
      <x:c r="J6" s="44" t="n">
        <x:v>1</x:v>
      </x:c>
      <x:c r="K6" s="44" t="n">
        <x:v>0</x:v>
      </x:c>
      <x:c r="L6" s="44" t="n">
        <x:v>3</x:v>
      </x:c>
      <x:c r="M6" s="44" t="n">
        <x:v>1</x:v>
      </x:c>
      <x:c r="N6" s="44" t="n">
        <x:v>0</x:v>
      </x:c>
      <x:c r="O6" s="44" t="n">
        <x:v>1</x:v>
      </x:c>
      <x:c r="P6" s="44" t="n">
        <x:v>0</x:v>
      </x:c>
      <x:c r="Q6" s="44" t="n">
        <x:v>0</x:v>
      </x:c>
      <x:c r="R6" s="44" t="n">
        <x:v>0</x:v>
      </x:c>
      <x:c r="S6" s="44" t="n">
        <x:v>1</x:v>
      </x:c>
      <x:c r="T6" s="44" t="n">
        <x:v>0</x:v>
      </x:c>
      <x:c r="U6" s="44" t="n">
        <x:v>2</x:v>
      </x:c>
      <x:c r="V6" s="44" t="str">
        <x:v>E2</x:v>
      </x:c>
      <x:c r="W6" s="44" t="str">
        <x:v>Partially supported</x:v>
      </x:c>
      <x:c r="X6" s="44" t="str">
        <x:v>Fine hair that becomes flat from oil or residue and does not need rich conditioning.</x:v>
      </x:c>
      <x:c r="Y6" s="44" t="str">
        <x:v>Very dry, porous or heavily bleached lengths without a separate conditioner.</x:v>
      </x:c>
      <x:c r="Z6" s="44" t="str">
        <x:v>Efficient SLES/betaine cleansing; no silicone; light cationic starch.</x:v>
      </x:c>
      <x:c r="AA6" s="44" t="str">
        <x:v>Limited bodying-film system; panthenol/niacinamide do not prove substantial volume.</x:v>
      </x:c>
      <x:c r="AB6" s="45" t="str">
        <x:v>A clean-and-light volume shampoo rather than a powerful strand-thickening formula.</x:v>
      </x:c>
    </x:row>
    <x:row r="7" ht="100" customHeight="1">
      <x:c r="A7" s="44" t="str">
        <x:v>P02</x:v>
      </x:c>
      <x:c r="B7" s="44" t="str">
        <x:v>John Frieda — Volume Lift Shampoo</x:v>
      </x:c>
      <x:c r="C7" s="44" t="str">
        <x:v>Volume, fullness, strand-plumping; silicone-free</x:v>
      </x:c>
      <x:c r="D7" s="44" t="str"/>
      <x:c r="E7" s="44" t="n">
        <x:v>3</x:v>
      </x:c>
      <x:c r="F7" s="44" t="n">
        <x:v>2</x:v>
      </x:c>
      <x:c r="G7" s="44" t="n">
        <x:v>1</x:v>
      </x:c>
      <x:c r="H7" s="44" t="n">
        <x:v>2</x:v>
      </x:c>
      <x:c r="I7" s="44" t="n">
        <x:v>1</x:v>
      </x:c>
      <x:c r="J7" s="44" t="n">
        <x:v>1</x:v>
      </x:c>
      <x:c r="K7" s="44" t="n">
        <x:v>0</x:v>
      </x:c>
      <x:c r="L7" s="44" t="n">
        <x:v>3</x:v>
      </x:c>
      <x:c r="M7" s="44" t="n">
        <x:v>3</x:v>
      </x:c>
      <x:c r="N7" s="44" t="n">
        <x:v>1</x:v>
      </x:c>
      <x:c r="O7" s="44" t="n">
        <x:v>2</x:v>
      </x:c>
      <x:c r="P7" s="44" t="n">
        <x:v>2</x:v>
      </x:c>
      <x:c r="Q7" s="44" t="n">
        <x:v>0</x:v>
      </x:c>
      <x:c r="R7" s="44" t="n">
        <x:v>1</x:v>
      </x:c>
      <x:c r="S7" s="44" t="n">
        <x:v>1</x:v>
      </x:c>
      <x:c r="T7" s="44" t="n">
        <x:v>1</x:v>
      </x:c>
      <x:c r="U7" s="44" t="n">
        <x:v>2</x:v>
      </x:c>
      <x:c r="V7" s="44" t="str">
        <x:v>E2</x:v>
      </x:c>
      <x:c r="W7" s="44" t="str">
        <x:v>Supported</x:v>
      </x:c>
      <x:c r="X7" s="44" t="str">
        <x:v>Fine/flat hair that benefits from both root cleansing and temporary body/grip.</x:v>
      </x:c>
      <x:c r="Y7" s="44" t="str">
        <x:v>Protein-sensitive feel or very dry hair needing richer deposition.</x:v>
      </x:c>
      <x:c r="Z7" s="44" t="str">
        <x:v>SLES blend plus cationic guar, glyceryl oleate and multiple hydrolyzed proteins.</x:v>
      </x:c>
      <x:c r="AA7" s="44" t="str">
        <x:v>Exact 'each strand plumped' magnitude is not inferable from INCI.</x:v>
      </x:c>
      <x:c r="AB7" s="45" t="str">
        <x:v>A legitimate V1 + V2 volume formula, more engineered than a basic low-residue shampoo.</x:v>
      </x:c>
    </x:row>
    <x:row r="8" ht="100" customHeight="1">
      <x:c r="A8" s="44" t="str">
        <x:v>P03</x:v>
      </x:c>
      <x:c r="B8" s="44" t="str">
        <x:v>L'Oréal Paris Elvital — Glycolic Gloss Shampoo</x:v>
      </x:c>
      <x:c r="C8" s="44" t="str">
        <x:v>Gloss and cuticle smoothing through glycolic acid</x:v>
      </x:c>
      <x:c r="D8" s="44" t="str"/>
      <x:c r="E8" s="44" t="n">
        <x:v>3</x:v>
      </x:c>
      <x:c r="F8" s="44" t="n">
        <x:v>3</x:v>
      </x:c>
      <x:c r="G8" s="44" t="n">
        <x:v>3</x:v>
      </x:c>
      <x:c r="H8" s="44" t="n">
        <x:v>3</x:v>
      </x:c>
      <x:c r="I8" s="44" t="n">
        <x:v>1</x:v>
      </x:c>
      <x:c r="J8" s="44" t="n">
        <x:v>1</x:v>
      </x:c>
      <x:c r="K8" s="44" t="n">
        <x:v>0</x:v>
      </x:c>
      <x:c r="L8" s="44" t="n">
        <x:v>1</x:v>
      </x:c>
      <x:c r="M8" s="44" t="n">
        <x:v>0</x:v>
      </x:c>
      <x:c r="N8" s="44" t="n">
        <x:v>0</x:v>
      </x:c>
      <x:c r="O8" s="44" t="n">
        <x:v>3</x:v>
      </x:c>
      <x:c r="P8" s="44" t="n">
        <x:v>1</x:v>
      </x:c>
      <x:c r="Q8" s="44" t="n">
        <x:v>0</x:v>
      </x:c>
      <x:c r="R8" s="44" t="n">
        <x:v>1</x:v>
      </x:c>
      <x:c r="S8" s="44" t="n">
        <x:v>1</x:v>
      </x:c>
      <x:c r="T8" s="44" t="n">
        <x:v>0</x:v>
      </x:c>
      <x:c r="U8" s="44" t="n">
        <x:v>2</x:v>
      </x:c>
      <x:c r="V8" s="44" t="str">
        <x:v>E2</x:v>
      </x:c>
      <x:c r="W8" s="44" t="str">
        <x:v>Partially supported</x:v>
      </x:c>
      <x:c r="X8" s="44" t="str">
        <x:v>Dull, rough or damaged hair that benefits from strong smoothing deposition.</x:v>
      </x:c>
      <x:c r="Y8" s="44" t="str">
        <x:v>Very fine/oily hair prone to feeling coated or flat.</x:v>
      </x:c>
      <x:c r="Z8" s="44" t="str">
        <x:v>Dimethicone high in list, cationic guar and amodimethicone create an obvious gloss system.</x:v>
      </x:c>
      <x:c r="AA8" s="44" t="str">
        <x:v>Glycolic acid is late-listed; final pH and its contribution are unknown.</x:v>
      </x:c>
      <x:c r="AB8" s="45" t="str">
        <x:v>Strong shine plausibility, driven more clearly by silicone/cationic deposition than by the hero-acid story alone.</x:v>
      </x:c>
    </x:row>
    <x:row r="9" ht="100" customHeight="1">
      <x:c r="A9" s="44" t="str">
        <x:v>P04</x:v>
      </x:c>
      <x:c r="B9" s="44" t="str">
        <x:v>Balea Professional — Shampoo Silberglanz</x:v>
      </x:c>
      <x:c r="C9" s="44" t="str">
        <x:v>Anti-yellow toning, color protection, care and shine</x:v>
      </x:c>
      <x:c r="D9" s="44" t="str"/>
      <x:c r="E9" s="44" t="n">
        <x:v>3</x:v>
      </x:c>
      <x:c r="F9" s="44" t="n">
        <x:v>2</x:v>
      </x:c>
      <x:c r="G9" s="44" t="n">
        <x:v>1</x:v>
      </x:c>
      <x:c r="H9" s="44" t="n">
        <x:v>2</x:v>
      </x:c>
      <x:c r="I9" s="44" t="n">
        <x:v>0</x:v>
      </x:c>
      <x:c r="J9" s="44" t="n">
        <x:v>1</x:v>
      </x:c>
      <x:c r="K9" s="44" t="n">
        <x:v>4</x:v>
      </x:c>
      <x:c r="L9" s="44" t="n">
        <x:v>2</x:v>
      </x:c>
      <x:c r="M9" s="44" t="n">
        <x:v>2</x:v>
      </x:c>
      <x:c r="N9" s="44" t="n">
        <x:v>0</x:v>
      </x:c>
      <x:c r="O9" s="44" t="n">
        <x:v>2</x:v>
      </x:c>
      <x:c r="P9" s="44" t="n">
        <x:v>2</x:v>
      </x:c>
      <x:c r="Q9" s="44" t="n">
        <x:v>0</x:v>
      </x:c>
      <x:c r="R9" s="44" t="n">
        <x:v>1</x:v>
      </x:c>
      <x:c r="S9" s="44" t="n">
        <x:v>1</x:v>
      </x:c>
      <x:c r="T9" s="44" t="n">
        <x:v>0</x:v>
      </x:c>
      <x:c r="U9" s="44" t="n">
        <x:v>2</x:v>
      </x:c>
      <x:c r="V9" s="44" t="str">
        <x:v>E2</x:v>
      </x:c>
      <x:c r="W9" s="44" t="str">
        <x:v>Supported</x:v>
      </x:c>
      <x:c r="X9" s="44" t="str">
        <x:v>Blonde, grey or lightened hair with unwanted yellow tone.</x:v>
      </x:c>
      <x:c r="Y9" s="44" t="str">
        <x:v>Hair where color toning is unnecessary; frequent use may over-tone some shades.</x:v>
      </x:c>
      <x:c r="Z9" s="44" t="str">
        <x:v>CI 60730 directly supports violet toning; keratin + cationic guar provide light care.</x:v>
      </x:c>
      <x:c r="AA9" s="44" t="str">
        <x:v>Optical brightness is not the same as a large physical gloss effect.</x:v>
      </x:c>
      <x:c r="AB9" s="45" t="str">
        <x:v>A strong S4 toning product with moderate conditioning/physical-shine support.</x:v>
      </x:c>
    </x:row>
    <x:row r="10" ht="100" customHeight="1">
      <x:c r="A10" s="44" t="str">
        <x:v>P05</x:v>
      </x:c>
      <x:c r="B10" s="44" t="str">
        <x:v>Pantene Pro-V — Shampoo Repair &amp; Care</x:v>
      </x:c>
      <x:c r="C10" s="44" t="str">
        <x:v>Repair, anti-split-end care, gloss and bond protection</x:v>
      </x:c>
      <x:c r="D10" s="44" t="str"/>
      <x:c r="E10" s="44" t="n">
        <x:v>3</x:v>
      </x:c>
      <x:c r="F10" s="44" t="n">
        <x:v>3</x:v>
      </x:c>
      <x:c r="G10" s="44" t="n">
        <x:v>2</x:v>
      </x:c>
      <x:c r="H10" s="44" t="n">
        <x:v>3</x:v>
      </x:c>
      <x:c r="I10" s="44" t="n">
        <x:v>1</x:v>
      </x:c>
      <x:c r="J10" s="44" t="n">
        <x:v>1</x:v>
      </x:c>
      <x:c r="K10" s="44" t="n">
        <x:v>0</x:v>
      </x:c>
      <x:c r="L10" s="44" t="n">
        <x:v>1</x:v>
      </x:c>
      <x:c r="M10" s="44" t="n">
        <x:v>1</x:v>
      </x:c>
      <x:c r="N10" s="44" t="n">
        <x:v>0</x:v>
      </x:c>
      <x:c r="O10" s="44" t="n">
        <x:v>3</x:v>
      </x:c>
      <x:c r="P10" s="44" t="n">
        <x:v>2</x:v>
      </x:c>
      <x:c r="Q10" s="44" t="n">
        <x:v>0</x:v>
      </x:c>
      <x:c r="R10" s="44" t="n">
        <x:v>2</x:v>
      </x:c>
      <x:c r="S10" s="44" t="n">
        <x:v>1</x:v>
      </x:c>
      <x:c r="T10" s="44" t="n">
        <x:v>1</x:v>
      </x:c>
      <x:c r="U10" s="44" t="n">
        <x:v>2</x:v>
      </x:c>
      <x:c r="V10" s="44" t="str">
        <x:v>E2</x:v>
      </x:c>
      <x:c r="W10" s="44" t="str">
        <x:v>Partially supported</x:v>
      </x:c>
      <x:c r="X10" s="44" t="str">
        <x:v>Damaged or rough hair needing silicone-free conditioning during cleansing.</x:v>
      </x:c>
      <x:c r="Y10" s="44" t="str">
        <x:v>Users expecting proven molecular bond repair from the shampoo alone.</x:v>
      </x:c>
      <x:c r="Z10" s="44" t="str">
        <x:v>Stearyl/cetyl alcohol, cationic guar and Polyquaternium-6 support softness and friction reduction.</x:v>
      </x:c>
      <x:c r="AA10" s="44" t="str">
        <x:v>No clear bond-specific active is identifiable from INCI; range-level language should not be assigned to shampoo alone.</x:v>
      </x:c>
      <x:c r="AB10" s="45" t="str">
        <x:v>A convincing protective/conditioning repair shampoo, but not an INCI-proven bond-repair treatment.</x:v>
      </x:c>
    </x:row>
    <x:row r="11" ht="100" customHeight="1">
      <x:c r="A11" s="44" t="str">
        <x:v>P06</x:v>
      </x:c>
      <x:c r="B11" s="44" t="str">
        <x:v>OLAPLEX — N°4 Bond Maintenance Shampoo</x:v>
      </x:c>
      <x:c r="C11" s="44" t="str">
        <x:v>Reduced breakage, strength, hydration, smoothing and bond maintenance</x:v>
      </x:c>
      <x:c r="D11" s="44" t="str"/>
      <x:c r="E11" s="44" t="n">
        <x:v>3</x:v>
      </x:c>
      <x:c r="F11" s="44" t="n">
        <x:v>4</x:v>
      </x:c>
      <x:c r="G11" s="44" t="n">
        <x:v>3</x:v>
      </x:c>
      <x:c r="H11" s="44" t="n">
        <x:v>4</x:v>
      </x:c>
      <x:c r="I11" s="44" t="n">
        <x:v>1</x:v>
      </x:c>
      <x:c r="J11" s="44" t="n">
        <x:v>2</x:v>
      </x:c>
      <x:c r="K11" s="44" t="n">
        <x:v>0</x:v>
      </x:c>
      <x:c r="L11" s="44" t="n">
        <x:v>1</x:v>
      </x:c>
      <x:c r="M11" s="44" t="n">
        <x:v>2</x:v>
      </x:c>
      <x:c r="N11" s="44" t="n">
        <x:v>1</x:v>
      </x:c>
      <x:c r="O11" s="44" t="n">
        <x:v>4</x:v>
      </x:c>
      <x:c r="P11" s="44" t="n">
        <x:v>3</x:v>
      </x:c>
      <x:c r="Q11" s="44" t="n">
        <x:v>3</x:v>
      </x:c>
      <x:c r="R11" s="44" t="n">
        <x:v>3</x:v>
      </x:c>
      <x:c r="S11" s="44" t="n">
        <x:v>2</x:v>
      </x:c>
      <x:c r="T11" s="44" t="n">
        <x:v>2</x:v>
      </x:c>
      <x:c r="U11" s="44" t="n">
        <x:v>3</x:v>
      </x:c>
      <x:c r="V11" s="44" t="str">
        <x:v>E2</x:v>
      </x:c>
      <x:c r="W11" s="44" t="str">
        <x:v>Partially supported</x:v>
      </x:c>
      <x:c r="X11" s="44" t="str">
        <x:v>Damaged, processed, frizz-prone hair needing high conditioning and multi-route damage management.</x:v>
      </x:c>
      <x:c r="Y11" s="44" t="str">
        <x:v>Very fine/low-porosity hair sensitive to layered polymers and silicones.</x:v>
      </x:c>
      <x:c r="Z11" s="44" t="str">
        <x:v>Bond-targeting ingredient appears early; amodimethicone, polyquaterniums, cationic guar, protein film and chelators overlap.</x:v>
      </x:c>
      <x:c r="AA11" s="44" t="str">
        <x:v>Public quantified results are system-level; shampoo-alone magnitude and permanence remain uncertain.</x:v>
      </x:c>
      <x:c r="AB11" s="45" t="str">
        <x:v>Strong conditioning/repair architecture with plausible bond-specific support, but evidence scope must be stated carefully.</x:v>
      </x:c>
    </x:row>
    <x:row r="12" ht="100" customHeight="1">
      <x:c r="A12" s="44" t="str">
        <x:v>P07</x:v>
      </x:c>
      <x:c r="B12" s="44" t="str">
        <x:v>OLAPLEX — N°4C Bond Maintenance Clarifying Shampoo</x:v>
      </x:c>
      <x:c r="C12" s="44" t="str">
        <x:v>Removal of product residue, oil, chlorine, metals and hard-water minerals</x:v>
      </x:c>
      <x:c r="D12" s="44" t="str"/>
      <x:c r="E12" s="44" t="n">
        <x:v>4</x:v>
      </x:c>
      <x:c r="F12" s="44" t="n">
        <x:v>2</x:v>
      </x:c>
      <x:c r="G12" s="44" t="n">
        <x:v>1</x:v>
      </x:c>
      <x:c r="H12" s="44" t="n">
        <x:v>2</x:v>
      </x:c>
      <x:c r="I12" s="44" t="n">
        <x:v>1</x:v>
      </x:c>
      <x:c r="J12" s="44" t="n">
        <x:v>4</x:v>
      </x:c>
      <x:c r="K12" s="44" t="n">
        <x:v>0</x:v>
      </x:c>
      <x:c r="L12" s="44" t="n">
        <x:v>3</x:v>
      </x:c>
      <x:c r="M12" s="44" t="n">
        <x:v>2</x:v>
      </x:c>
      <x:c r="N12" s="44" t="n">
        <x:v>4</x:v>
      </x:c>
      <x:c r="O12" s="44" t="n">
        <x:v>2</x:v>
      </x:c>
      <x:c r="P12" s="44" t="n">
        <x:v>2</x:v>
      </x:c>
      <x:c r="Q12" s="44" t="n">
        <x:v>2</x:v>
      </x:c>
      <x:c r="R12" s="44" t="n">
        <x:v>3</x:v>
      </x:c>
      <x:c r="S12" s="44" t="n">
        <x:v>4</x:v>
      </x:c>
      <x:c r="T12" s="44" t="n">
        <x:v>4</x:v>
      </x:c>
      <x:c r="U12" s="44" t="n">
        <x:v>2</x:v>
      </x:c>
      <x:c r="V12" s="44" t="str">
        <x:v>E2</x:v>
      </x:c>
      <x:c r="W12" s="44" t="str">
        <x:v>Supported</x:v>
      </x:c>
      <x:c r="X12" s="44" t="str">
        <x:v>Periodic reset for heavy styling buildup, hard water, swimming or mineral/metal exposure.</x:v>
      </x:c>
      <x:c r="Y12" s="44" t="str">
        <x:v>Frequent use on very dry/fragile hair without follow-up conditioning.</x:v>
      </x:c>
      <x:c r="Z12" s="44" t="str">
        <x:v>Broad surfactant system plus EDDS and pentasodium triphosphate; weekly use and up-to-five-minute contact.</x:v>
      </x:c>
      <x:c r="AA12" s="44" t="str">
        <x:v>Exact removal percentages are not public finished-product evidence.</x:v>
      </x:c>
      <x:c r="AB12" s="45" t="str">
        <x:v>The strongest calibration example for combined organic clarification and inorganic chelation.</x:v>
      </x:c>
    </x:row>
    <x:row r="13" ht="100" customHeight="1">
      <x:c r="A13" s="44" t="str">
        <x:v>P08</x:v>
      </x:c>
      <x:c r="B13" s="44" t="str">
        <x:v>Balea med — Shampoo Ultra Sensitive</x:v>
      </x:c>
      <x:c r="C13" s="44" t="str">
        <x:v>Very gentle daily cleansing for sensitive scalp; 5% glycerin; fragrance-free</x:v>
      </x:c>
      <x:c r="D13" s="44" t="str"/>
      <x:c r="E13" s="44" t="n">
        <x:v>2</x:v>
      </x:c>
      <x:c r="F13" s="44" t="n">
        <x:v>2</x:v>
      </x:c>
      <x:c r="G13" s="44" t="n">
        <x:v>1</x:v>
      </x:c>
      <x:c r="H13" s="44" t="n">
        <x:v>2</x:v>
      </x:c>
      <x:c r="I13" s="44" t="n">
        <x:v>1</x:v>
      </x:c>
      <x:c r="J13" s="44" t="n">
        <x:v>1</x:v>
      </x:c>
      <x:c r="K13" s="44" t="n">
        <x:v>0</x:v>
      </x:c>
      <x:c r="L13" s="44" t="n">
        <x:v>2</x:v>
      </x:c>
      <x:c r="M13" s="44" t="n">
        <x:v>1</x:v>
      </x:c>
      <x:c r="N13" s="44" t="n">
        <x:v>0</x:v>
      </x:c>
      <x:c r="O13" s="44" t="n">
        <x:v>2</x:v>
      </x:c>
      <x:c r="P13" s="44" t="n">
        <x:v>1</x:v>
      </x:c>
      <x:c r="Q13" s="44" t="n">
        <x:v>0</x:v>
      </x:c>
      <x:c r="R13" s="44" t="n">
        <x:v>1</x:v>
      </x:c>
      <x:c r="S13" s="44" t="n">
        <x:v>1</x:v>
      </x:c>
      <x:c r="T13" s="44" t="n">
        <x:v>0</x:v>
      </x:c>
      <x:c r="U13" s="44" t="n">
        <x:v>3</x:v>
      </x:c>
      <x:c r="V13" s="44" t="str">
        <x:v>E2</x:v>
      </x:c>
      <x:c r="W13" s="44" t="str">
        <x:v>Partially supported</x:v>
      </x:c>
      <x:c r="X13" s="44" t="str">
        <x:v>Fragrance-sensitive users wanting moderate daily cleansing with refatting/conditioning support.</x:v>
      </x:c>
      <x:c r="Y13" s="44" t="str">
        <x:v>Anyone who assumes 'ultra sensitive' guarantees no irritation or minimal cleansing.</x:v>
      </x:c>
      <x:c r="Z13" s="44" t="str">
        <x:v>Fragrance-free, 5% glycerin claim, mixed surfactants, glyceryl oleate and cationic guar.</x:v>
      </x:c>
      <x:c r="AA13" s="44" t="str">
        <x:v>Sodium coco-sulfate remains prominent; individual tolerance cannot be guaranteed.</x:v>
      </x:c>
      <x:c r="AB13" s="45" t="str">
        <x:v>A plausible sensitive-positioned formula, especially for fragrance avoidance, with moderate—not negligible—cleansing.</x:v>
      </x:c>
    </x:row>
    <x:row r="14" ht="100" customHeight="1">
      <x:c r="A14" s="44" t="str">
        <x:v>P09</x:v>
      </x:c>
      <x:c r="B14" s="44" t="str">
        <x:v>Cantu — Cream Cleanse Shampoo</x:v>
      </x:c>
      <x:c r="C14" s="44" t="str">
        <x:v>Gentle but thorough cleansing for textured hair; buildup removal; sulfate-free positioning</x:v>
      </x:c>
      <x:c r="D14" s="44" t="str"/>
      <x:c r="E14" s="44" t="n">
        <x:v>4</x:v>
      </x:c>
      <x:c r="F14" s="44" t="n">
        <x:v>2</x:v>
      </x:c>
      <x:c r="G14" s="44" t="n">
        <x:v>2</x:v>
      </x:c>
      <x:c r="H14" s="44" t="n">
        <x:v>2</x:v>
      </x:c>
      <x:c r="I14" s="44" t="n">
        <x:v>0</x:v>
      </x:c>
      <x:c r="J14" s="44" t="n">
        <x:v>3</x:v>
      </x:c>
      <x:c r="K14" s="44" t="n">
        <x:v>0</x:v>
      </x:c>
      <x:c r="L14" s="44" t="n">
        <x:v>3</x:v>
      </x:c>
      <x:c r="M14" s="44" t="n">
        <x:v>2</x:v>
      </x:c>
      <x:c r="N14" s="44" t="n">
        <x:v>3</x:v>
      </x:c>
      <x:c r="O14" s="44" t="n">
        <x:v>2</x:v>
      </x:c>
      <x:c r="P14" s="44" t="n">
        <x:v>2</x:v>
      </x:c>
      <x:c r="Q14" s="44" t="n">
        <x:v>0</x:v>
      </x:c>
      <x:c r="R14" s="44" t="n">
        <x:v>1</x:v>
      </x:c>
      <x:c r="S14" s="44" t="n">
        <x:v>3</x:v>
      </x:c>
      <x:c r="T14" s="44" t="n">
        <x:v>1</x:v>
      </x:c>
      <x:c r="U14" s="44" t="n">
        <x:v>1</x:v>
      </x:c>
      <x:c r="V14" s="44" t="str">
        <x:v>E2</x:v>
      </x:c>
      <x:c r="W14" s="44" t="str">
        <x:v>Partially supported</x:v>
      </x:c>
      <x:c r="X14" s="44" t="str">
        <x:v>Textured hair with substantial styling buildup that still benefits from some cationic conditioning.</x:v>
      </x:c>
      <x:c r="Y14" s="44" t="str">
        <x:v>Dry, fragile or frequently washed hair when a very mild cleanser is needed.</x:v>
      </x:c>
      <x:c r="Z14" s="44" t="str">
        <x:v>Olefin sulfonate high in list supports strong organic cleansing; cationic guar/PQ-39 and shea add care signals.</x:v>
      </x:c>
      <x:c r="AA14" s="44" t="str">
        <x:v>Sulfate-free does not make this low-detergency; 'gentle' is the weakest part of the positioning.</x:v>
      </x:c>
      <x:c r="AB14" s="45" t="str">
        <x:v>A strong buildup-removing shampoo with some conditioning—not a low-cleansing co-wash.</x:v>
      </x:c>
    </x:row>
    <x:row r="15" ht="100" customHeight="1">
      <x:c r="A15" s="46" t="str">
        <x:v>P10</x:v>
      </x:c>
      <x:c r="B15" s="46" t="str">
        <x:v>Head &amp; Shoulders — Anti-Schuppen Shampoo Classic Clean</x:v>
      </x:c>
      <x:c r="C15" s="46" t="str">
        <x:v>Anti-dandruff, itch/dryness control, daily suitability and care</x:v>
      </x:c>
      <x:c r="D15" s="46" t="str">
        <x:v>Base-shampoo properties can be scored; anti-dandruff efficacy requires a separate scalp/active module.</x:v>
      </x:c>
      <x:c r="E15" s="46" t="n">
        <x:v>3</x:v>
      </x:c>
      <x:c r="F15" s="46" t="n">
        <x:v>3</x:v>
      </x:c>
      <x:c r="G15" s="46" t="n">
        <x:v>2</x:v>
      </x:c>
      <x:c r="H15" s="46" t="n">
        <x:v>3</x:v>
      </x:c>
      <x:c r="I15" s="46" t="n">
        <x:v>1</x:v>
      </x:c>
      <x:c r="J15" s="46" t="n">
        <x:v>2</x:v>
      </x:c>
      <x:c r="K15" s="46" t="n">
        <x:v>0</x:v>
      </x:c>
      <x:c r="L15" s="46" t="n">
        <x:v>1</x:v>
      </x:c>
      <x:c r="M15" s="46" t="n">
        <x:v>1</x:v>
      </x:c>
      <x:c r="N15" s="46" t="n">
        <x:v>1</x:v>
      </x:c>
      <x:c r="O15" s="46" t="n">
        <x:v>3</x:v>
      </x:c>
      <x:c r="P15" s="46" t="n">
        <x:v>1</x:v>
      </x:c>
      <x:c r="Q15" s="46" t="n">
        <x:v>0</x:v>
      </x:c>
      <x:c r="R15" s="46" t="n">
        <x:v>2</x:v>
      </x:c>
      <x:c r="S15" s="46" t="n">
        <x:v>2</x:v>
      </x:c>
      <x:c r="T15" s="46" t="n">
        <x:v>1</x:v>
      </x:c>
      <x:c r="U15" s="46" t="n">
        <x:v>2</x:v>
      </x:c>
      <x:c r="V15" s="46" t="str">
        <x:v>E2</x:v>
      </x:c>
      <x:c r="W15" s="46" t="str">
        <x:v>Specialist review required</x:v>
      </x:c>
      <x:c r="X15" s="46" t="str">
        <x:v>Dandruff-prone scalp needing an anti-dandruff active and a conditioned hair feel.</x:v>
      </x:c>
      <x:c r="Y15" s="46" t="str">
        <x:v>Users with fragrance sensitivity or those seeking a specialist diagnosis for persistent scalp disease.</x:v>
      </x:c>
      <x:c r="Z15" s="46" t="str">
        <x:v>Piroctone olamine provides a direct anti-dandruff mechanism; dimethiconol/dimethicone + cationic guar support conditioning.</x:v>
      </x:c>
      <x:c r="AA15" s="46" t="str">
        <x:v>Anti-dandruff efficacy, dose and clinical suitability exceed the base shampoo classification module.</x:v>
      </x:c>
      <x:c r="AB15" s="47" t="str">
        <x:v>Base formula is medium-high cleansing and conditioning; anti-dandruff efficacy must be judged in a separate scalp-active module.</x:v>
      </x:c>
    </x:row>
  </x:sheetData>
  <x:mergeCells>
    <x:mergeCell ref="A1:AB1"/>
    <x:mergeCell ref="A2:AB2"/>
    <x:mergeCell ref="E4:G4"/>
    <x:mergeCell ref="H4:K4"/>
    <x:mergeCell ref="L4:N4"/>
    <x:mergeCell ref="O4:R4"/>
    <x:mergeCell ref="S4:U4"/>
  </x:mergeCells>
  <x:conditionalFormatting sqref="E6:U15">
    <x:cfRule type="colorScale" priority="1">
      <x:colorScale>
        <x:cfvo type="min"/>
        <x:cfvo type="percentile" val="50"/>
        <x:cfvo type="max"/>
        <x:color rgb="FFF7F7F7"/>
        <x:color rgb="FFF3E7BD"/>
        <x:color rgb="FF7AC8BC"/>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34" hidden="0" customWidth="1"/>
    <x:col min="3" max="3" width="12" hidden="0" customWidth="1"/>
    <x:col min="4" max="4" width="12" hidden="0" customWidth="1"/>
    <x:col min="5" max="5" width="14" hidden="0" customWidth="1"/>
    <x:col min="6" max="6" width="14" hidden="0" customWidth="1"/>
    <x:col min="7" max="7" width="18" hidden="0" customWidth="1"/>
    <x:col min="8" max="8" width="14" hidden="0" customWidth="1"/>
    <x:col min="9" max="9" width="14" hidden="0" customWidth="1"/>
    <x:col min="10" max="10" width="18"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 min="25" max="25" width="9" hidden="0" customWidth="1"/>
    <x:col min="26" max="26" width="9" hidden="0" customWidth="1"/>
    <x:col min="27" max="27" width="9" hidden="0" customWidth="1"/>
  </x:cols>
  <x:sheetData>
    <x:row r="1" ht="34" customHeight="1">
      <x:c r="A1" s="4" t="str">
        <x:v>Calibration agreement</x:v>
      </x:c>
      <x:c r="B1" s="4"/>
      <x:c r="C1" s="4"/>
      <x:c r="D1" s="4"/>
      <x:c r="E1" s="4"/>
      <x:c r="F1" s="4"/>
      <x:c r="G1" s="4"/>
      <x:c r="H1" s="4"/>
      <x:c r="I1" s="4"/>
      <x:c r="J1" s="4"/>
      <x:c r="K1" s="4"/>
      <x:c r="L1" s="4"/>
      <x:c r="M1" s="4"/>
      <x:c r="N1" s="4"/>
      <x:c r="O1" s="4"/>
      <x:c r="P1" s="4"/>
      <x:c r="Q1" s="4"/>
      <x:c r="R1" s="4"/>
      <x:c r="S1" s="4"/>
      <x:c r="T1" s="4"/>
      <x:c r="U1" s="4"/>
      <x:c r="V1" s="4"/>
      <x:c r="W1" s="4"/>
      <x:c r="X1" s="4"/>
      <x:c r="Y1" s="4"/>
      <x:c r="Z1" s="4"/>
      <x:c r="AA1" s="4"/>
    </x:row>
    <x:row r="2" ht="30" customHeight="1">
      <x:c r="A2" s="11" t="str">
        <x:v>This sheet compares Reviewer A and Reviewer B automatically. Blank scores remain blank; resolve all differences &gt;1 and review systematic dimension drift.</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row>
    <x:row r="4">
      <x:c r="A4" s="24" t="str">
        <x:v>KPI</x:v>
      </x:c>
      <x:c r="B4" s="25" t="str">
        <x:v>Value</x:v>
      </x:c>
      <x:c r="D4" s="24" t="str">
        <x:v>Threshold</x:v>
      </x:c>
      <x:c r="E4" s="67" t="str">
        <x:v>Meaning</x:v>
      </x:c>
      <x:c r="F4" s="25" t="str">
        <x:v>Action</x:v>
      </x:c>
    </x:row>
    <x:row r="5">
      <x:c r="A5" s="44" t="str">
        <x:v>Reviewer A completion</x:v>
      </x:c>
      <x:c r="B5" s="80" t="n">
        <x:f>COUNT(Reviewer_A!E6:U15)/170</x:f>
        <x:v>0</x:v>
      </x:c>
      <x:c r="D5" s="44" t="str">
        <x:v>Mean diff ≤0.50</x:v>
      </x:c>
      <x:c r="E5" s="44" t="str">
        <x:v>Good provisional consistency</x:v>
      </x:c>
      <x:c r="F5" s="45" t="str">
        <x:v>Accept after checking individual outliers</x:v>
      </x:c>
    </x:row>
    <x:row r="6">
      <x:c r="A6" s="44" t="str">
        <x:v>Reviewer B completion</x:v>
      </x:c>
      <x:c r="B6" s="80" t="n">
        <x:f>COUNT(Reviewer_B!E6:U15)/170</x:f>
        <x:v>0</x:v>
      </x:c>
      <x:c r="D6" s="44" t="str">
        <x:v>Mean diff 0.51–1.00</x:v>
      </x:c>
      <x:c r="E6" s="44" t="str">
        <x:v>Moderate interpretive drift</x:v>
      </x:c>
      <x:c r="F6" s="45" t="str">
        <x:v>Discuss score anchors and route definitions</x:v>
      </x:c>
    </x:row>
    <x:row r="7">
      <x:c r="A7" s="44" t="str">
        <x:v>Overall mean A/B difference</x:v>
      </x:c>
      <x:c r="B7" s="82" t="str">
        <x:f>IF(COUNT(K14:AA23)=0,"",AVERAGE(K14:AA23))</x:f>
      </x:c>
      <x:c r="D7" s="46" t="str">
        <x:v>Any diff &gt;1</x:v>
      </x:c>
      <x:c r="E7" s="46" t="str">
        <x:v>Material disagreement</x:v>
      </x:c>
      <x:c r="F7" s="47" t="str">
        <x:v>Adjudicate the product/dimension and log the rule change</x:v>
      </x:c>
    </x:row>
    <x:row r="8">
      <x:c r="A8" s="44" t="str">
        <x:v>Products with any difference &gt;1</x:v>
      </x:c>
      <x:c r="B8" s="45" t="str">
        <x:f>IF(COUNT(F14:F23)=0,"",COUNTIF(F14:F23,"&gt;1"))</x:f>
      </x:c>
    </x:row>
    <x:row r="9">
      <x:c r="A9" s="46" t="str">
        <x:v>Calibration status</x:v>
      </x:c>
      <x:c r="B9" s="47" t="str">
        <x:f>IF(OR(B5&lt;1,B6&lt;1),"Incomplete",IF(AND(B7&lt;=0.5,B8=0),"Calibrated",IF(B7&lt;=1,"Discuss disagreements","Recalibration required")))</x:f>
        <x:v>Incomplete</x:v>
      </x:c>
    </x:row>
    <x:row r="13">
      <x:c r="A13" s="24" t="str">
        <x:v>ID</x:v>
      </x:c>
      <x:c r="B13" s="67" t="str">
        <x:v>Product</x:v>
      </x:c>
      <x:c r="C13" s="67" t="str">
        <x:v>A complete</x:v>
      </x:c>
      <x:c r="D13" s="67" t="str">
        <x:v>B complete</x:v>
      </x:c>
      <x:c r="E13" s="67" t="str">
        <x:v>Mean abs diff</x:v>
      </x:c>
      <x:c r="F13" s="67" t="str">
        <x:v>Max diff</x:v>
      </x:c>
      <x:c r="G13" s="67" t="str">
        <x:v>% dimensions within 1</x:v>
      </x:c>
      <x:c r="H13" s="67" t="str">
        <x:v>A vs key MAE</x:v>
      </x:c>
      <x:c r="I13" s="67" t="str">
        <x:v>B vs key MAE</x:v>
      </x:c>
      <x:c r="J13" s="67" t="str">
        <x:v>Status</x:v>
      </x:c>
      <x:c r="K13" s="67" t="str">
        <x:v>CLN</x:v>
      </x:c>
      <x:c r="L13" s="67" t="str">
        <x:v>COND</x:v>
      </x:c>
      <x:c r="M13" s="67" t="str">
        <x:v>WT</x:v>
      </x:c>
      <x:c r="N13" s="67" t="str">
        <x:v>S1</x:v>
      </x:c>
      <x:c r="O13" s="67" t="str">
        <x:v>S2</x:v>
      </x:c>
      <x:c r="P13" s="67" t="str">
        <x:v>S3</x:v>
      </x:c>
      <x:c r="Q13" s="67" t="str">
        <x:v>S4</x:v>
      </x:c>
      <x:c r="R13" s="67" t="str">
        <x:v>V1</x:v>
      </x:c>
      <x:c r="S13" s="67" t="str">
        <x:v>V2</x:v>
      </x:c>
      <x:c r="T13" s="67" t="str">
        <x:v>V3</x:v>
      </x:c>
      <x:c r="U13" s="67" t="str">
        <x:v>R1</x:v>
      </x:c>
      <x:c r="V13" s="67" t="str">
        <x:v>R2</x:v>
      </x:c>
      <x:c r="W13" s="67" t="str">
        <x:v>R3</x:v>
      </x:c>
      <x:c r="X13" s="67" t="str">
        <x:v>R4</x:v>
      </x:c>
      <x:c r="Y13" s="67" t="str">
        <x:v>OC</x:v>
      </x:c>
      <x:c r="Z13" s="67" t="str">
        <x:v>IC</x:v>
      </x:c>
      <x:c r="AA13" s="25" t="str">
        <x:v>MILD</x:v>
      </x:c>
    </x:row>
    <x:row r="14" ht="42" customHeight="1">
      <x:c r="A14" s="44" t="str">
        <x:v>P01</x:v>
      </x:c>
      <x:c r="B14" s="44" t="str">
        <x:v>Balea — Shampoo Volumen</x:v>
      </x:c>
      <x:c r="C14" s="44" t="n">
        <x:f>COUNT(Reviewer_A!E6:U6)</x:f>
        <x:v>0</x:v>
      </x:c>
      <x:c r="D14" s="44" t="n">
        <x:f>COUNT(Reviewer_B!E6:U6)</x:f>
        <x:v>0</x:v>
      </x:c>
      <x:c r="E14" s="84" t="str">
        <x:f>IF(COUNT(K14:AA14)&lt;17,"",AVERAGE(K14:AA14))</x:f>
      </x:c>
      <x:c r="F14" s="84" t="str">
        <x:f>IF(COUNT(K14:AA14)&lt;17,"",MAX(K14:AA14))</x:f>
      </x:c>
      <x:c r="G14" s="88" t="str">
        <x:f>IF(COUNT(K14:AA14)&lt;17,"",COUNTIF(K14:AA14,"&lt;=1")/17)</x:f>
      </x:c>
      <x:c r="H14" s="84" t="str">
        <x:f>IF(COUNT(Reviewer_A!E6:U6)&lt;17,"",(ABS(Reviewer_A!E6-Reference_Key!E6)+ABS(Reviewer_A!F6-Reference_Key!F6)+ABS(Reviewer_A!G6-Reference_Key!G6)+ABS(Reviewer_A!H6-Reference_Key!H6)+ABS(Reviewer_A!I6-Reference_Key!I6)+ABS(Reviewer_A!J6-Reference_Key!J6)+ABS(Reviewer_A!K6-Reference_Key!K6)+ABS(Reviewer_A!L6-Reference_Key!L6)+ABS(Reviewer_A!M6-Reference_Key!M6)+ABS(Reviewer_A!N6-Reference_Key!N6)+ABS(Reviewer_A!O6-Reference_Key!O6)+ABS(Reviewer_A!P6-Reference_Key!P6)+ABS(Reviewer_A!Q6-Reference_Key!Q6)+ABS(Reviewer_A!R6-Reference_Key!R6)+ABS(Reviewer_A!S6-Reference_Key!S6)+ABS(Reviewer_A!T6-Reference_Key!T6)+ABS(Reviewer_A!U6-Reference_Key!U6))/17)</x:f>
      </x:c>
      <x:c r="I14" s="84" t="str">
        <x:f>IF(COUNT(Reviewer_B!E6:U6)&lt;17,"",(ABS(Reviewer_B!E6-Reference_Key!E6)+ABS(Reviewer_B!F6-Reference_Key!F6)+ABS(Reviewer_B!G6-Reference_Key!G6)+ABS(Reviewer_B!H6-Reference_Key!H6)+ABS(Reviewer_B!I6-Reference_Key!I6)+ABS(Reviewer_B!J6-Reference_Key!J6)+ABS(Reviewer_B!K6-Reference_Key!K6)+ABS(Reviewer_B!L6-Reference_Key!L6)+ABS(Reviewer_B!M6-Reference_Key!M6)+ABS(Reviewer_B!N6-Reference_Key!N6)+ABS(Reviewer_B!O6-Reference_Key!O6)+ABS(Reviewer_B!P6-Reference_Key!P6)+ABS(Reviewer_B!Q6-Reference_Key!Q6)+ABS(Reviewer_B!R6-Reference_Key!R6)+ABS(Reviewer_B!S6-Reference_Key!S6)+ABS(Reviewer_B!T6-Reference_Key!T6)+ABS(Reviewer_B!U6-Reference_Key!U6))/17)</x:f>
      </x:c>
      <x:c r="J14" s="44" t="str">
        <x:f>IF(OR(C14&lt;17,D14&lt;17),"Incomplete",IF(F14&gt;1,"Discuss",IF(E14&lt;=0.5,"Aligned","Review")))</x:f>
        <x:v>Incomplete</x:v>
      </x:c>
      <x:c r="K14" s="44" t="str">
        <x:f>IF(OR(Reviewer_A!E6="",Reviewer_B!E6=""),"",ABS(Reviewer_A!E6-Reviewer_B!E6))</x:f>
      </x:c>
      <x:c r="L14" s="44" t="str">
        <x:f>IF(OR(Reviewer_A!F6="",Reviewer_B!F6=""),"",ABS(Reviewer_A!F6-Reviewer_B!F6))</x:f>
      </x:c>
      <x:c r="M14" s="44" t="str">
        <x:f>IF(OR(Reviewer_A!G6="",Reviewer_B!G6=""),"",ABS(Reviewer_A!G6-Reviewer_B!G6))</x:f>
      </x:c>
      <x:c r="N14" s="44" t="str">
        <x:f>IF(OR(Reviewer_A!H6="",Reviewer_B!H6=""),"",ABS(Reviewer_A!H6-Reviewer_B!H6))</x:f>
      </x:c>
      <x:c r="O14" s="44" t="str">
        <x:f>IF(OR(Reviewer_A!I6="",Reviewer_B!I6=""),"",ABS(Reviewer_A!I6-Reviewer_B!I6))</x:f>
      </x:c>
      <x:c r="P14" s="44" t="str">
        <x:f>IF(OR(Reviewer_A!J6="",Reviewer_B!J6=""),"",ABS(Reviewer_A!J6-Reviewer_B!J6))</x:f>
      </x:c>
      <x:c r="Q14" s="44" t="str">
        <x:f>IF(OR(Reviewer_A!K6="",Reviewer_B!K6=""),"",ABS(Reviewer_A!K6-Reviewer_B!K6))</x:f>
      </x:c>
      <x:c r="R14" s="44" t="str">
        <x:f>IF(OR(Reviewer_A!L6="",Reviewer_B!L6=""),"",ABS(Reviewer_A!L6-Reviewer_B!L6))</x:f>
      </x:c>
      <x:c r="S14" s="44" t="str">
        <x:f>IF(OR(Reviewer_A!M6="",Reviewer_B!M6=""),"",ABS(Reviewer_A!M6-Reviewer_B!M6))</x:f>
      </x:c>
      <x:c r="T14" s="44" t="str">
        <x:f>IF(OR(Reviewer_A!N6="",Reviewer_B!N6=""),"",ABS(Reviewer_A!N6-Reviewer_B!N6))</x:f>
      </x:c>
      <x:c r="U14" s="44" t="str">
        <x:f>IF(OR(Reviewer_A!O6="",Reviewer_B!O6=""),"",ABS(Reviewer_A!O6-Reviewer_B!O6))</x:f>
      </x:c>
      <x:c r="V14" s="44" t="str">
        <x:f>IF(OR(Reviewer_A!P6="",Reviewer_B!P6=""),"",ABS(Reviewer_A!P6-Reviewer_B!P6))</x:f>
      </x:c>
      <x:c r="W14" s="44" t="str">
        <x:f>IF(OR(Reviewer_A!Q6="",Reviewer_B!Q6=""),"",ABS(Reviewer_A!Q6-Reviewer_B!Q6))</x:f>
      </x:c>
      <x:c r="X14" s="44" t="str">
        <x:f>IF(OR(Reviewer_A!R6="",Reviewer_B!R6=""),"",ABS(Reviewer_A!R6-Reviewer_B!R6))</x:f>
      </x:c>
      <x:c r="Y14" s="44" t="str">
        <x:f>IF(OR(Reviewer_A!S6="",Reviewer_B!S6=""),"",ABS(Reviewer_A!S6-Reviewer_B!S6))</x:f>
      </x:c>
      <x:c r="Z14" s="44" t="str">
        <x:f>IF(OR(Reviewer_A!T6="",Reviewer_B!T6=""),"",ABS(Reviewer_A!T6-Reviewer_B!T6))</x:f>
      </x:c>
      <x:c r="AA14" s="45" t="str">
        <x:f>IF(OR(Reviewer_A!U6="",Reviewer_B!U6=""),"",ABS(Reviewer_A!U6-Reviewer_B!U6))</x:f>
      </x:c>
    </x:row>
    <x:row r="15" ht="42" customHeight="1">
      <x:c r="A15" s="44" t="str">
        <x:v>P02</x:v>
      </x:c>
      <x:c r="B15" s="44" t="str">
        <x:v>John Frieda — Volume Lift Shampoo</x:v>
      </x:c>
      <x:c r="C15" s="44" t="n">
        <x:f>COUNT(Reviewer_A!E7:U7)</x:f>
        <x:v>0</x:v>
      </x:c>
      <x:c r="D15" s="44" t="n">
        <x:f>COUNT(Reviewer_B!E7:U7)</x:f>
        <x:v>0</x:v>
      </x:c>
      <x:c r="E15" s="84" t="str">
        <x:f>IF(COUNT(K15:AA15)&lt;17,"",AVERAGE(K15:AA15))</x:f>
      </x:c>
      <x:c r="F15" s="84" t="str">
        <x:f>IF(COUNT(K15:AA15)&lt;17,"",MAX(K15:AA15))</x:f>
      </x:c>
      <x:c r="G15" s="88" t="str">
        <x:f>IF(COUNT(K15:AA15)&lt;17,"",COUNTIF(K15:AA15,"&lt;=1")/17)</x:f>
      </x:c>
      <x:c r="H15" s="84" t="str">
        <x:f>IF(COUNT(Reviewer_A!E7:U7)&lt;17,"",(ABS(Reviewer_A!E7-Reference_Key!E7)+ABS(Reviewer_A!F7-Reference_Key!F7)+ABS(Reviewer_A!G7-Reference_Key!G7)+ABS(Reviewer_A!H7-Reference_Key!H7)+ABS(Reviewer_A!I7-Reference_Key!I7)+ABS(Reviewer_A!J7-Reference_Key!J7)+ABS(Reviewer_A!K7-Reference_Key!K7)+ABS(Reviewer_A!L7-Reference_Key!L7)+ABS(Reviewer_A!M7-Reference_Key!M7)+ABS(Reviewer_A!N7-Reference_Key!N7)+ABS(Reviewer_A!O7-Reference_Key!O7)+ABS(Reviewer_A!P7-Reference_Key!P7)+ABS(Reviewer_A!Q7-Reference_Key!Q7)+ABS(Reviewer_A!R7-Reference_Key!R7)+ABS(Reviewer_A!S7-Reference_Key!S7)+ABS(Reviewer_A!T7-Reference_Key!T7)+ABS(Reviewer_A!U7-Reference_Key!U7))/17)</x:f>
      </x:c>
      <x:c r="I15" s="84" t="str">
        <x:f>IF(COUNT(Reviewer_B!E7:U7)&lt;17,"",(ABS(Reviewer_B!E7-Reference_Key!E7)+ABS(Reviewer_B!F7-Reference_Key!F7)+ABS(Reviewer_B!G7-Reference_Key!G7)+ABS(Reviewer_B!H7-Reference_Key!H7)+ABS(Reviewer_B!I7-Reference_Key!I7)+ABS(Reviewer_B!J7-Reference_Key!J7)+ABS(Reviewer_B!K7-Reference_Key!K7)+ABS(Reviewer_B!L7-Reference_Key!L7)+ABS(Reviewer_B!M7-Reference_Key!M7)+ABS(Reviewer_B!N7-Reference_Key!N7)+ABS(Reviewer_B!O7-Reference_Key!O7)+ABS(Reviewer_B!P7-Reference_Key!P7)+ABS(Reviewer_B!Q7-Reference_Key!Q7)+ABS(Reviewer_B!R7-Reference_Key!R7)+ABS(Reviewer_B!S7-Reference_Key!S7)+ABS(Reviewer_B!T7-Reference_Key!T7)+ABS(Reviewer_B!U7-Reference_Key!U7))/17)</x:f>
      </x:c>
      <x:c r="J15" s="44" t="str">
        <x:f>IF(OR(C15&lt;17,D15&lt;17),"Incomplete",IF(F15&gt;1,"Discuss",IF(E15&lt;=0.5,"Aligned","Review")))</x:f>
        <x:v>Incomplete</x:v>
      </x:c>
      <x:c r="K15" s="44" t="str">
        <x:f>IF(OR(Reviewer_A!E7="",Reviewer_B!E7=""),"",ABS(Reviewer_A!E7-Reviewer_B!E7))</x:f>
      </x:c>
      <x:c r="L15" s="44" t="str">
        <x:f>IF(OR(Reviewer_A!F7="",Reviewer_B!F7=""),"",ABS(Reviewer_A!F7-Reviewer_B!F7))</x:f>
      </x:c>
      <x:c r="M15" s="44" t="str">
        <x:f>IF(OR(Reviewer_A!G7="",Reviewer_B!G7=""),"",ABS(Reviewer_A!G7-Reviewer_B!G7))</x:f>
      </x:c>
      <x:c r="N15" s="44" t="str">
        <x:f>IF(OR(Reviewer_A!H7="",Reviewer_B!H7=""),"",ABS(Reviewer_A!H7-Reviewer_B!H7))</x:f>
      </x:c>
      <x:c r="O15" s="44" t="str">
        <x:f>IF(OR(Reviewer_A!I7="",Reviewer_B!I7=""),"",ABS(Reviewer_A!I7-Reviewer_B!I7))</x:f>
      </x:c>
      <x:c r="P15" s="44" t="str">
        <x:f>IF(OR(Reviewer_A!J7="",Reviewer_B!J7=""),"",ABS(Reviewer_A!J7-Reviewer_B!J7))</x:f>
      </x:c>
      <x:c r="Q15" s="44" t="str">
        <x:f>IF(OR(Reviewer_A!K7="",Reviewer_B!K7=""),"",ABS(Reviewer_A!K7-Reviewer_B!K7))</x:f>
      </x:c>
      <x:c r="R15" s="44" t="str">
        <x:f>IF(OR(Reviewer_A!L7="",Reviewer_B!L7=""),"",ABS(Reviewer_A!L7-Reviewer_B!L7))</x:f>
      </x:c>
      <x:c r="S15" s="44" t="str">
        <x:f>IF(OR(Reviewer_A!M7="",Reviewer_B!M7=""),"",ABS(Reviewer_A!M7-Reviewer_B!M7))</x:f>
      </x:c>
      <x:c r="T15" s="44" t="str">
        <x:f>IF(OR(Reviewer_A!N7="",Reviewer_B!N7=""),"",ABS(Reviewer_A!N7-Reviewer_B!N7))</x:f>
      </x:c>
      <x:c r="U15" s="44" t="str">
        <x:f>IF(OR(Reviewer_A!O7="",Reviewer_B!O7=""),"",ABS(Reviewer_A!O7-Reviewer_B!O7))</x:f>
      </x:c>
      <x:c r="V15" s="44" t="str">
        <x:f>IF(OR(Reviewer_A!P7="",Reviewer_B!P7=""),"",ABS(Reviewer_A!P7-Reviewer_B!P7))</x:f>
      </x:c>
      <x:c r="W15" s="44" t="str">
        <x:f>IF(OR(Reviewer_A!Q7="",Reviewer_B!Q7=""),"",ABS(Reviewer_A!Q7-Reviewer_B!Q7))</x:f>
      </x:c>
      <x:c r="X15" s="44" t="str">
        <x:f>IF(OR(Reviewer_A!R7="",Reviewer_B!R7=""),"",ABS(Reviewer_A!R7-Reviewer_B!R7))</x:f>
      </x:c>
      <x:c r="Y15" s="44" t="str">
        <x:f>IF(OR(Reviewer_A!S7="",Reviewer_B!S7=""),"",ABS(Reviewer_A!S7-Reviewer_B!S7))</x:f>
      </x:c>
      <x:c r="Z15" s="44" t="str">
        <x:f>IF(OR(Reviewer_A!T7="",Reviewer_B!T7=""),"",ABS(Reviewer_A!T7-Reviewer_B!T7))</x:f>
      </x:c>
      <x:c r="AA15" s="45" t="str">
        <x:f>IF(OR(Reviewer_A!U7="",Reviewer_B!U7=""),"",ABS(Reviewer_A!U7-Reviewer_B!U7))</x:f>
      </x:c>
    </x:row>
    <x:row r="16" ht="42" customHeight="1">
      <x:c r="A16" s="44" t="str">
        <x:v>P03</x:v>
      </x:c>
      <x:c r="B16" s="44" t="str">
        <x:v>L'Oréal Paris Elvital — Glycolic Gloss Shampoo</x:v>
      </x:c>
      <x:c r="C16" s="44" t="n">
        <x:f>COUNT(Reviewer_A!E8:U8)</x:f>
        <x:v>0</x:v>
      </x:c>
      <x:c r="D16" s="44" t="n">
        <x:f>COUNT(Reviewer_B!E8:U8)</x:f>
        <x:v>0</x:v>
      </x:c>
      <x:c r="E16" s="84" t="str">
        <x:f>IF(COUNT(K16:AA16)&lt;17,"",AVERAGE(K16:AA16))</x:f>
      </x:c>
      <x:c r="F16" s="84" t="str">
        <x:f>IF(COUNT(K16:AA16)&lt;17,"",MAX(K16:AA16))</x:f>
      </x:c>
      <x:c r="G16" s="88" t="str">
        <x:f>IF(COUNT(K16:AA16)&lt;17,"",COUNTIF(K16:AA16,"&lt;=1")/17)</x:f>
      </x:c>
      <x:c r="H16" s="84" t="str">
        <x:f>IF(COUNT(Reviewer_A!E8:U8)&lt;17,"",(ABS(Reviewer_A!E8-Reference_Key!E8)+ABS(Reviewer_A!F8-Reference_Key!F8)+ABS(Reviewer_A!G8-Reference_Key!G8)+ABS(Reviewer_A!H8-Reference_Key!H8)+ABS(Reviewer_A!I8-Reference_Key!I8)+ABS(Reviewer_A!J8-Reference_Key!J8)+ABS(Reviewer_A!K8-Reference_Key!K8)+ABS(Reviewer_A!L8-Reference_Key!L8)+ABS(Reviewer_A!M8-Reference_Key!M8)+ABS(Reviewer_A!N8-Reference_Key!N8)+ABS(Reviewer_A!O8-Reference_Key!O8)+ABS(Reviewer_A!P8-Reference_Key!P8)+ABS(Reviewer_A!Q8-Reference_Key!Q8)+ABS(Reviewer_A!R8-Reference_Key!R8)+ABS(Reviewer_A!S8-Reference_Key!S8)+ABS(Reviewer_A!T8-Reference_Key!T8)+ABS(Reviewer_A!U8-Reference_Key!U8))/17)</x:f>
      </x:c>
      <x:c r="I16" s="84" t="str">
        <x:f>IF(COUNT(Reviewer_B!E8:U8)&lt;17,"",(ABS(Reviewer_B!E8-Reference_Key!E8)+ABS(Reviewer_B!F8-Reference_Key!F8)+ABS(Reviewer_B!G8-Reference_Key!G8)+ABS(Reviewer_B!H8-Reference_Key!H8)+ABS(Reviewer_B!I8-Reference_Key!I8)+ABS(Reviewer_B!J8-Reference_Key!J8)+ABS(Reviewer_B!K8-Reference_Key!K8)+ABS(Reviewer_B!L8-Reference_Key!L8)+ABS(Reviewer_B!M8-Reference_Key!M8)+ABS(Reviewer_B!N8-Reference_Key!N8)+ABS(Reviewer_B!O8-Reference_Key!O8)+ABS(Reviewer_B!P8-Reference_Key!P8)+ABS(Reviewer_B!Q8-Reference_Key!Q8)+ABS(Reviewer_B!R8-Reference_Key!R8)+ABS(Reviewer_B!S8-Reference_Key!S8)+ABS(Reviewer_B!T8-Reference_Key!T8)+ABS(Reviewer_B!U8-Reference_Key!U8))/17)</x:f>
      </x:c>
      <x:c r="J16" s="44" t="str">
        <x:f>IF(OR(C16&lt;17,D16&lt;17),"Incomplete",IF(F16&gt;1,"Discuss",IF(E16&lt;=0.5,"Aligned","Review")))</x:f>
        <x:v>Incomplete</x:v>
      </x:c>
      <x:c r="K16" s="44" t="str">
        <x:f>IF(OR(Reviewer_A!E8="",Reviewer_B!E8=""),"",ABS(Reviewer_A!E8-Reviewer_B!E8))</x:f>
      </x:c>
      <x:c r="L16" s="44" t="str">
        <x:f>IF(OR(Reviewer_A!F8="",Reviewer_B!F8=""),"",ABS(Reviewer_A!F8-Reviewer_B!F8))</x:f>
      </x:c>
      <x:c r="M16" s="44" t="str">
        <x:f>IF(OR(Reviewer_A!G8="",Reviewer_B!G8=""),"",ABS(Reviewer_A!G8-Reviewer_B!G8))</x:f>
      </x:c>
      <x:c r="N16" s="44" t="str">
        <x:f>IF(OR(Reviewer_A!H8="",Reviewer_B!H8=""),"",ABS(Reviewer_A!H8-Reviewer_B!H8))</x:f>
      </x:c>
      <x:c r="O16" s="44" t="str">
        <x:f>IF(OR(Reviewer_A!I8="",Reviewer_B!I8=""),"",ABS(Reviewer_A!I8-Reviewer_B!I8))</x:f>
      </x:c>
      <x:c r="P16" s="44" t="str">
        <x:f>IF(OR(Reviewer_A!J8="",Reviewer_B!J8=""),"",ABS(Reviewer_A!J8-Reviewer_B!J8))</x:f>
      </x:c>
      <x:c r="Q16" s="44" t="str">
        <x:f>IF(OR(Reviewer_A!K8="",Reviewer_B!K8=""),"",ABS(Reviewer_A!K8-Reviewer_B!K8))</x:f>
      </x:c>
      <x:c r="R16" s="44" t="str">
        <x:f>IF(OR(Reviewer_A!L8="",Reviewer_B!L8=""),"",ABS(Reviewer_A!L8-Reviewer_B!L8))</x:f>
      </x:c>
      <x:c r="S16" s="44" t="str">
        <x:f>IF(OR(Reviewer_A!M8="",Reviewer_B!M8=""),"",ABS(Reviewer_A!M8-Reviewer_B!M8))</x:f>
      </x:c>
      <x:c r="T16" s="44" t="str">
        <x:f>IF(OR(Reviewer_A!N8="",Reviewer_B!N8=""),"",ABS(Reviewer_A!N8-Reviewer_B!N8))</x:f>
      </x:c>
      <x:c r="U16" s="44" t="str">
        <x:f>IF(OR(Reviewer_A!O8="",Reviewer_B!O8=""),"",ABS(Reviewer_A!O8-Reviewer_B!O8))</x:f>
      </x:c>
      <x:c r="V16" s="44" t="str">
        <x:f>IF(OR(Reviewer_A!P8="",Reviewer_B!P8=""),"",ABS(Reviewer_A!P8-Reviewer_B!P8))</x:f>
      </x:c>
      <x:c r="W16" s="44" t="str">
        <x:f>IF(OR(Reviewer_A!Q8="",Reviewer_B!Q8=""),"",ABS(Reviewer_A!Q8-Reviewer_B!Q8))</x:f>
      </x:c>
      <x:c r="X16" s="44" t="str">
        <x:f>IF(OR(Reviewer_A!R8="",Reviewer_B!R8=""),"",ABS(Reviewer_A!R8-Reviewer_B!R8))</x:f>
      </x:c>
      <x:c r="Y16" s="44" t="str">
        <x:f>IF(OR(Reviewer_A!S8="",Reviewer_B!S8=""),"",ABS(Reviewer_A!S8-Reviewer_B!S8))</x:f>
      </x:c>
      <x:c r="Z16" s="44" t="str">
        <x:f>IF(OR(Reviewer_A!T8="",Reviewer_B!T8=""),"",ABS(Reviewer_A!T8-Reviewer_B!T8))</x:f>
      </x:c>
      <x:c r="AA16" s="45" t="str">
        <x:f>IF(OR(Reviewer_A!U8="",Reviewer_B!U8=""),"",ABS(Reviewer_A!U8-Reviewer_B!U8))</x:f>
      </x:c>
    </x:row>
    <x:row r="17" ht="42" customHeight="1">
      <x:c r="A17" s="44" t="str">
        <x:v>P04</x:v>
      </x:c>
      <x:c r="B17" s="44" t="str">
        <x:v>Balea Professional — Shampoo Silberglanz</x:v>
      </x:c>
      <x:c r="C17" s="44" t="n">
        <x:f>COUNT(Reviewer_A!E9:U9)</x:f>
        <x:v>0</x:v>
      </x:c>
      <x:c r="D17" s="44" t="n">
        <x:f>COUNT(Reviewer_B!E9:U9)</x:f>
        <x:v>0</x:v>
      </x:c>
      <x:c r="E17" s="84" t="str">
        <x:f>IF(COUNT(K17:AA17)&lt;17,"",AVERAGE(K17:AA17))</x:f>
      </x:c>
      <x:c r="F17" s="84" t="str">
        <x:f>IF(COUNT(K17:AA17)&lt;17,"",MAX(K17:AA17))</x:f>
      </x:c>
      <x:c r="G17" s="88" t="str">
        <x:f>IF(COUNT(K17:AA17)&lt;17,"",COUNTIF(K17:AA17,"&lt;=1")/17)</x:f>
      </x:c>
      <x:c r="H17" s="84" t="str">
        <x:f>IF(COUNT(Reviewer_A!E9:U9)&lt;17,"",(ABS(Reviewer_A!E9-Reference_Key!E9)+ABS(Reviewer_A!F9-Reference_Key!F9)+ABS(Reviewer_A!G9-Reference_Key!G9)+ABS(Reviewer_A!H9-Reference_Key!H9)+ABS(Reviewer_A!I9-Reference_Key!I9)+ABS(Reviewer_A!J9-Reference_Key!J9)+ABS(Reviewer_A!K9-Reference_Key!K9)+ABS(Reviewer_A!L9-Reference_Key!L9)+ABS(Reviewer_A!M9-Reference_Key!M9)+ABS(Reviewer_A!N9-Reference_Key!N9)+ABS(Reviewer_A!O9-Reference_Key!O9)+ABS(Reviewer_A!P9-Reference_Key!P9)+ABS(Reviewer_A!Q9-Reference_Key!Q9)+ABS(Reviewer_A!R9-Reference_Key!R9)+ABS(Reviewer_A!S9-Reference_Key!S9)+ABS(Reviewer_A!T9-Reference_Key!T9)+ABS(Reviewer_A!U9-Reference_Key!U9))/17)</x:f>
      </x:c>
      <x:c r="I17" s="84" t="str">
        <x:f>IF(COUNT(Reviewer_B!E9:U9)&lt;17,"",(ABS(Reviewer_B!E9-Reference_Key!E9)+ABS(Reviewer_B!F9-Reference_Key!F9)+ABS(Reviewer_B!G9-Reference_Key!G9)+ABS(Reviewer_B!H9-Reference_Key!H9)+ABS(Reviewer_B!I9-Reference_Key!I9)+ABS(Reviewer_B!J9-Reference_Key!J9)+ABS(Reviewer_B!K9-Reference_Key!K9)+ABS(Reviewer_B!L9-Reference_Key!L9)+ABS(Reviewer_B!M9-Reference_Key!M9)+ABS(Reviewer_B!N9-Reference_Key!N9)+ABS(Reviewer_B!O9-Reference_Key!O9)+ABS(Reviewer_B!P9-Reference_Key!P9)+ABS(Reviewer_B!Q9-Reference_Key!Q9)+ABS(Reviewer_B!R9-Reference_Key!R9)+ABS(Reviewer_B!S9-Reference_Key!S9)+ABS(Reviewer_B!T9-Reference_Key!T9)+ABS(Reviewer_B!U9-Reference_Key!U9))/17)</x:f>
      </x:c>
      <x:c r="J17" s="44" t="str">
        <x:f>IF(OR(C17&lt;17,D17&lt;17),"Incomplete",IF(F17&gt;1,"Discuss",IF(E17&lt;=0.5,"Aligned","Review")))</x:f>
        <x:v>Incomplete</x:v>
      </x:c>
      <x:c r="K17" s="44" t="str">
        <x:f>IF(OR(Reviewer_A!E9="",Reviewer_B!E9=""),"",ABS(Reviewer_A!E9-Reviewer_B!E9))</x:f>
      </x:c>
      <x:c r="L17" s="44" t="str">
        <x:f>IF(OR(Reviewer_A!F9="",Reviewer_B!F9=""),"",ABS(Reviewer_A!F9-Reviewer_B!F9))</x:f>
      </x:c>
      <x:c r="M17" s="44" t="str">
        <x:f>IF(OR(Reviewer_A!G9="",Reviewer_B!G9=""),"",ABS(Reviewer_A!G9-Reviewer_B!G9))</x:f>
      </x:c>
      <x:c r="N17" s="44" t="str">
        <x:f>IF(OR(Reviewer_A!H9="",Reviewer_B!H9=""),"",ABS(Reviewer_A!H9-Reviewer_B!H9))</x:f>
      </x:c>
      <x:c r="O17" s="44" t="str">
        <x:f>IF(OR(Reviewer_A!I9="",Reviewer_B!I9=""),"",ABS(Reviewer_A!I9-Reviewer_B!I9))</x:f>
      </x:c>
      <x:c r="P17" s="44" t="str">
        <x:f>IF(OR(Reviewer_A!J9="",Reviewer_B!J9=""),"",ABS(Reviewer_A!J9-Reviewer_B!J9))</x:f>
      </x:c>
      <x:c r="Q17" s="44" t="str">
        <x:f>IF(OR(Reviewer_A!K9="",Reviewer_B!K9=""),"",ABS(Reviewer_A!K9-Reviewer_B!K9))</x:f>
      </x:c>
      <x:c r="R17" s="44" t="str">
        <x:f>IF(OR(Reviewer_A!L9="",Reviewer_B!L9=""),"",ABS(Reviewer_A!L9-Reviewer_B!L9))</x:f>
      </x:c>
      <x:c r="S17" s="44" t="str">
        <x:f>IF(OR(Reviewer_A!M9="",Reviewer_B!M9=""),"",ABS(Reviewer_A!M9-Reviewer_B!M9))</x:f>
      </x:c>
      <x:c r="T17" s="44" t="str">
        <x:f>IF(OR(Reviewer_A!N9="",Reviewer_B!N9=""),"",ABS(Reviewer_A!N9-Reviewer_B!N9))</x:f>
      </x:c>
      <x:c r="U17" s="44" t="str">
        <x:f>IF(OR(Reviewer_A!O9="",Reviewer_B!O9=""),"",ABS(Reviewer_A!O9-Reviewer_B!O9))</x:f>
      </x:c>
      <x:c r="V17" s="44" t="str">
        <x:f>IF(OR(Reviewer_A!P9="",Reviewer_B!P9=""),"",ABS(Reviewer_A!P9-Reviewer_B!P9))</x:f>
      </x:c>
      <x:c r="W17" s="44" t="str">
        <x:f>IF(OR(Reviewer_A!Q9="",Reviewer_B!Q9=""),"",ABS(Reviewer_A!Q9-Reviewer_B!Q9))</x:f>
      </x:c>
      <x:c r="X17" s="44" t="str">
        <x:f>IF(OR(Reviewer_A!R9="",Reviewer_B!R9=""),"",ABS(Reviewer_A!R9-Reviewer_B!R9))</x:f>
      </x:c>
      <x:c r="Y17" s="44" t="str">
        <x:f>IF(OR(Reviewer_A!S9="",Reviewer_B!S9=""),"",ABS(Reviewer_A!S9-Reviewer_B!S9))</x:f>
      </x:c>
      <x:c r="Z17" s="44" t="str">
        <x:f>IF(OR(Reviewer_A!T9="",Reviewer_B!T9=""),"",ABS(Reviewer_A!T9-Reviewer_B!T9))</x:f>
      </x:c>
      <x:c r="AA17" s="45" t="str">
        <x:f>IF(OR(Reviewer_A!U9="",Reviewer_B!U9=""),"",ABS(Reviewer_A!U9-Reviewer_B!U9))</x:f>
      </x:c>
    </x:row>
    <x:row r="18" ht="42" customHeight="1">
      <x:c r="A18" s="44" t="str">
        <x:v>P05</x:v>
      </x:c>
      <x:c r="B18" s="44" t="str">
        <x:v>Pantene Pro-V — Shampoo Repair &amp; Care</x:v>
      </x:c>
      <x:c r="C18" s="44" t="n">
        <x:f>COUNT(Reviewer_A!E10:U10)</x:f>
        <x:v>0</x:v>
      </x:c>
      <x:c r="D18" s="44" t="n">
        <x:f>COUNT(Reviewer_B!E10:U10)</x:f>
        <x:v>0</x:v>
      </x:c>
      <x:c r="E18" s="84" t="str">
        <x:f>IF(COUNT(K18:AA18)&lt;17,"",AVERAGE(K18:AA18))</x:f>
      </x:c>
      <x:c r="F18" s="84" t="str">
        <x:f>IF(COUNT(K18:AA18)&lt;17,"",MAX(K18:AA18))</x:f>
      </x:c>
      <x:c r="G18" s="88" t="str">
        <x:f>IF(COUNT(K18:AA18)&lt;17,"",COUNTIF(K18:AA18,"&lt;=1")/17)</x:f>
      </x:c>
      <x:c r="H18" s="84" t="str">
        <x:f>IF(COUNT(Reviewer_A!E10:U10)&lt;17,"",(ABS(Reviewer_A!E10-Reference_Key!E10)+ABS(Reviewer_A!F10-Reference_Key!F10)+ABS(Reviewer_A!G10-Reference_Key!G10)+ABS(Reviewer_A!H10-Reference_Key!H10)+ABS(Reviewer_A!I10-Reference_Key!I10)+ABS(Reviewer_A!J10-Reference_Key!J10)+ABS(Reviewer_A!K10-Reference_Key!K10)+ABS(Reviewer_A!L10-Reference_Key!L10)+ABS(Reviewer_A!M10-Reference_Key!M10)+ABS(Reviewer_A!N10-Reference_Key!N10)+ABS(Reviewer_A!O10-Reference_Key!O10)+ABS(Reviewer_A!P10-Reference_Key!P10)+ABS(Reviewer_A!Q10-Reference_Key!Q10)+ABS(Reviewer_A!R10-Reference_Key!R10)+ABS(Reviewer_A!S10-Reference_Key!S10)+ABS(Reviewer_A!T10-Reference_Key!T10)+ABS(Reviewer_A!U10-Reference_Key!U10))/17)</x:f>
      </x:c>
      <x:c r="I18" s="84" t="str">
        <x:f>IF(COUNT(Reviewer_B!E10:U10)&lt;17,"",(ABS(Reviewer_B!E10-Reference_Key!E10)+ABS(Reviewer_B!F10-Reference_Key!F10)+ABS(Reviewer_B!G10-Reference_Key!G10)+ABS(Reviewer_B!H10-Reference_Key!H10)+ABS(Reviewer_B!I10-Reference_Key!I10)+ABS(Reviewer_B!J10-Reference_Key!J10)+ABS(Reviewer_B!K10-Reference_Key!K10)+ABS(Reviewer_B!L10-Reference_Key!L10)+ABS(Reviewer_B!M10-Reference_Key!M10)+ABS(Reviewer_B!N10-Reference_Key!N10)+ABS(Reviewer_B!O10-Reference_Key!O10)+ABS(Reviewer_B!P10-Reference_Key!P10)+ABS(Reviewer_B!Q10-Reference_Key!Q10)+ABS(Reviewer_B!R10-Reference_Key!R10)+ABS(Reviewer_B!S10-Reference_Key!S10)+ABS(Reviewer_B!T10-Reference_Key!T10)+ABS(Reviewer_B!U10-Reference_Key!U10))/17)</x:f>
      </x:c>
      <x:c r="J18" s="44" t="str">
        <x:f>IF(OR(C18&lt;17,D18&lt;17),"Incomplete",IF(F18&gt;1,"Discuss",IF(E18&lt;=0.5,"Aligned","Review")))</x:f>
        <x:v>Incomplete</x:v>
      </x:c>
      <x:c r="K18" s="44" t="str">
        <x:f>IF(OR(Reviewer_A!E10="",Reviewer_B!E10=""),"",ABS(Reviewer_A!E10-Reviewer_B!E10))</x:f>
      </x:c>
      <x:c r="L18" s="44" t="str">
        <x:f>IF(OR(Reviewer_A!F10="",Reviewer_B!F10=""),"",ABS(Reviewer_A!F10-Reviewer_B!F10))</x:f>
      </x:c>
      <x:c r="M18" s="44" t="str">
        <x:f>IF(OR(Reviewer_A!G10="",Reviewer_B!G10=""),"",ABS(Reviewer_A!G10-Reviewer_B!G10))</x:f>
      </x:c>
      <x:c r="N18" s="44" t="str">
        <x:f>IF(OR(Reviewer_A!H10="",Reviewer_B!H10=""),"",ABS(Reviewer_A!H10-Reviewer_B!H10))</x:f>
      </x:c>
      <x:c r="O18" s="44" t="str">
        <x:f>IF(OR(Reviewer_A!I10="",Reviewer_B!I10=""),"",ABS(Reviewer_A!I10-Reviewer_B!I10))</x:f>
      </x:c>
      <x:c r="P18" s="44" t="str">
        <x:f>IF(OR(Reviewer_A!J10="",Reviewer_B!J10=""),"",ABS(Reviewer_A!J10-Reviewer_B!J10))</x:f>
      </x:c>
      <x:c r="Q18" s="44" t="str">
        <x:f>IF(OR(Reviewer_A!K10="",Reviewer_B!K10=""),"",ABS(Reviewer_A!K10-Reviewer_B!K10))</x:f>
      </x:c>
      <x:c r="R18" s="44" t="str">
        <x:f>IF(OR(Reviewer_A!L10="",Reviewer_B!L10=""),"",ABS(Reviewer_A!L10-Reviewer_B!L10))</x:f>
      </x:c>
      <x:c r="S18" s="44" t="str">
        <x:f>IF(OR(Reviewer_A!M10="",Reviewer_B!M10=""),"",ABS(Reviewer_A!M10-Reviewer_B!M10))</x:f>
      </x:c>
      <x:c r="T18" s="44" t="str">
        <x:f>IF(OR(Reviewer_A!N10="",Reviewer_B!N10=""),"",ABS(Reviewer_A!N10-Reviewer_B!N10))</x:f>
      </x:c>
      <x:c r="U18" s="44" t="str">
        <x:f>IF(OR(Reviewer_A!O10="",Reviewer_B!O10=""),"",ABS(Reviewer_A!O10-Reviewer_B!O10))</x:f>
      </x:c>
      <x:c r="V18" s="44" t="str">
        <x:f>IF(OR(Reviewer_A!P10="",Reviewer_B!P10=""),"",ABS(Reviewer_A!P10-Reviewer_B!P10))</x:f>
      </x:c>
      <x:c r="W18" s="44" t="str">
        <x:f>IF(OR(Reviewer_A!Q10="",Reviewer_B!Q10=""),"",ABS(Reviewer_A!Q10-Reviewer_B!Q10))</x:f>
      </x:c>
      <x:c r="X18" s="44" t="str">
        <x:f>IF(OR(Reviewer_A!R10="",Reviewer_B!R10=""),"",ABS(Reviewer_A!R10-Reviewer_B!R10))</x:f>
      </x:c>
      <x:c r="Y18" s="44" t="str">
        <x:f>IF(OR(Reviewer_A!S10="",Reviewer_B!S10=""),"",ABS(Reviewer_A!S10-Reviewer_B!S10))</x:f>
      </x:c>
      <x:c r="Z18" s="44" t="str">
        <x:f>IF(OR(Reviewer_A!T10="",Reviewer_B!T10=""),"",ABS(Reviewer_A!T10-Reviewer_B!T10))</x:f>
      </x:c>
      <x:c r="AA18" s="45" t="str">
        <x:f>IF(OR(Reviewer_A!U10="",Reviewer_B!U10=""),"",ABS(Reviewer_A!U10-Reviewer_B!U10))</x:f>
      </x:c>
    </x:row>
    <x:row r="19" ht="42" customHeight="1">
      <x:c r="A19" s="44" t="str">
        <x:v>P06</x:v>
      </x:c>
      <x:c r="B19" s="44" t="str">
        <x:v>OLAPLEX — N°4 Bond Maintenance Shampoo</x:v>
      </x:c>
      <x:c r="C19" s="44" t="n">
        <x:f>COUNT(Reviewer_A!E11:U11)</x:f>
        <x:v>0</x:v>
      </x:c>
      <x:c r="D19" s="44" t="n">
        <x:f>COUNT(Reviewer_B!E11:U11)</x:f>
        <x:v>0</x:v>
      </x:c>
      <x:c r="E19" s="84" t="str">
        <x:f>IF(COUNT(K19:AA19)&lt;17,"",AVERAGE(K19:AA19))</x:f>
      </x:c>
      <x:c r="F19" s="84" t="str">
        <x:f>IF(COUNT(K19:AA19)&lt;17,"",MAX(K19:AA19))</x:f>
      </x:c>
      <x:c r="G19" s="88" t="str">
        <x:f>IF(COUNT(K19:AA19)&lt;17,"",COUNTIF(K19:AA19,"&lt;=1")/17)</x:f>
      </x:c>
      <x:c r="H19" s="84" t="str">
        <x:f>IF(COUNT(Reviewer_A!E11:U11)&lt;17,"",(ABS(Reviewer_A!E11-Reference_Key!E11)+ABS(Reviewer_A!F11-Reference_Key!F11)+ABS(Reviewer_A!G11-Reference_Key!G11)+ABS(Reviewer_A!H11-Reference_Key!H11)+ABS(Reviewer_A!I11-Reference_Key!I11)+ABS(Reviewer_A!J11-Reference_Key!J11)+ABS(Reviewer_A!K11-Reference_Key!K11)+ABS(Reviewer_A!L11-Reference_Key!L11)+ABS(Reviewer_A!M11-Reference_Key!M11)+ABS(Reviewer_A!N11-Reference_Key!N11)+ABS(Reviewer_A!O11-Reference_Key!O11)+ABS(Reviewer_A!P11-Reference_Key!P11)+ABS(Reviewer_A!Q11-Reference_Key!Q11)+ABS(Reviewer_A!R11-Reference_Key!R11)+ABS(Reviewer_A!S11-Reference_Key!S11)+ABS(Reviewer_A!T11-Reference_Key!T11)+ABS(Reviewer_A!U11-Reference_Key!U11))/17)</x:f>
      </x:c>
      <x:c r="I19" s="84" t="str">
        <x:f>IF(COUNT(Reviewer_B!E11:U11)&lt;17,"",(ABS(Reviewer_B!E11-Reference_Key!E11)+ABS(Reviewer_B!F11-Reference_Key!F11)+ABS(Reviewer_B!G11-Reference_Key!G11)+ABS(Reviewer_B!H11-Reference_Key!H11)+ABS(Reviewer_B!I11-Reference_Key!I11)+ABS(Reviewer_B!J11-Reference_Key!J11)+ABS(Reviewer_B!K11-Reference_Key!K11)+ABS(Reviewer_B!L11-Reference_Key!L11)+ABS(Reviewer_B!M11-Reference_Key!M11)+ABS(Reviewer_B!N11-Reference_Key!N11)+ABS(Reviewer_B!O11-Reference_Key!O11)+ABS(Reviewer_B!P11-Reference_Key!P11)+ABS(Reviewer_B!Q11-Reference_Key!Q11)+ABS(Reviewer_B!R11-Reference_Key!R11)+ABS(Reviewer_B!S11-Reference_Key!S11)+ABS(Reviewer_B!T11-Reference_Key!T11)+ABS(Reviewer_B!U11-Reference_Key!U11))/17)</x:f>
      </x:c>
      <x:c r="J19" s="44" t="str">
        <x:f>IF(OR(C19&lt;17,D19&lt;17),"Incomplete",IF(F19&gt;1,"Discuss",IF(E19&lt;=0.5,"Aligned","Review")))</x:f>
        <x:v>Incomplete</x:v>
      </x:c>
      <x:c r="K19" s="44" t="str">
        <x:f>IF(OR(Reviewer_A!E11="",Reviewer_B!E11=""),"",ABS(Reviewer_A!E11-Reviewer_B!E11))</x:f>
      </x:c>
      <x:c r="L19" s="44" t="str">
        <x:f>IF(OR(Reviewer_A!F11="",Reviewer_B!F11=""),"",ABS(Reviewer_A!F11-Reviewer_B!F11))</x:f>
      </x:c>
      <x:c r="M19" s="44" t="str">
        <x:f>IF(OR(Reviewer_A!G11="",Reviewer_B!G11=""),"",ABS(Reviewer_A!G11-Reviewer_B!G11))</x:f>
      </x:c>
      <x:c r="N19" s="44" t="str">
        <x:f>IF(OR(Reviewer_A!H11="",Reviewer_B!H11=""),"",ABS(Reviewer_A!H11-Reviewer_B!H11))</x:f>
      </x:c>
      <x:c r="O19" s="44" t="str">
        <x:f>IF(OR(Reviewer_A!I11="",Reviewer_B!I11=""),"",ABS(Reviewer_A!I11-Reviewer_B!I11))</x:f>
      </x:c>
      <x:c r="P19" s="44" t="str">
        <x:f>IF(OR(Reviewer_A!J11="",Reviewer_B!J11=""),"",ABS(Reviewer_A!J11-Reviewer_B!J11))</x:f>
      </x:c>
      <x:c r="Q19" s="44" t="str">
        <x:f>IF(OR(Reviewer_A!K11="",Reviewer_B!K11=""),"",ABS(Reviewer_A!K11-Reviewer_B!K11))</x:f>
      </x:c>
      <x:c r="R19" s="44" t="str">
        <x:f>IF(OR(Reviewer_A!L11="",Reviewer_B!L11=""),"",ABS(Reviewer_A!L11-Reviewer_B!L11))</x:f>
      </x:c>
      <x:c r="S19" s="44" t="str">
        <x:f>IF(OR(Reviewer_A!M11="",Reviewer_B!M11=""),"",ABS(Reviewer_A!M11-Reviewer_B!M11))</x:f>
      </x:c>
      <x:c r="T19" s="44" t="str">
        <x:f>IF(OR(Reviewer_A!N11="",Reviewer_B!N11=""),"",ABS(Reviewer_A!N11-Reviewer_B!N11))</x:f>
      </x:c>
      <x:c r="U19" s="44" t="str">
        <x:f>IF(OR(Reviewer_A!O11="",Reviewer_B!O11=""),"",ABS(Reviewer_A!O11-Reviewer_B!O11))</x:f>
      </x:c>
      <x:c r="V19" s="44" t="str">
        <x:f>IF(OR(Reviewer_A!P11="",Reviewer_B!P11=""),"",ABS(Reviewer_A!P11-Reviewer_B!P11))</x:f>
      </x:c>
      <x:c r="W19" s="44" t="str">
        <x:f>IF(OR(Reviewer_A!Q11="",Reviewer_B!Q11=""),"",ABS(Reviewer_A!Q11-Reviewer_B!Q11))</x:f>
      </x:c>
      <x:c r="X19" s="44" t="str">
        <x:f>IF(OR(Reviewer_A!R11="",Reviewer_B!R11=""),"",ABS(Reviewer_A!R11-Reviewer_B!R11))</x:f>
      </x:c>
      <x:c r="Y19" s="44" t="str">
        <x:f>IF(OR(Reviewer_A!S11="",Reviewer_B!S11=""),"",ABS(Reviewer_A!S11-Reviewer_B!S11))</x:f>
      </x:c>
      <x:c r="Z19" s="44" t="str">
        <x:f>IF(OR(Reviewer_A!T11="",Reviewer_B!T11=""),"",ABS(Reviewer_A!T11-Reviewer_B!T11))</x:f>
      </x:c>
      <x:c r="AA19" s="45" t="str">
        <x:f>IF(OR(Reviewer_A!U11="",Reviewer_B!U11=""),"",ABS(Reviewer_A!U11-Reviewer_B!U11))</x:f>
      </x:c>
    </x:row>
    <x:row r="20" ht="42" customHeight="1">
      <x:c r="A20" s="44" t="str">
        <x:v>P07</x:v>
      </x:c>
      <x:c r="B20" s="44" t="str">
        <x:v>OLAPLEX — N°4C Bond Maintenance Clarifying Shampoo</x:v>
      </x:c>
      <x:c r="C20" s="44" t="n">
        <x:f>COUNT(Reviewer_A!E12:U12)</x:f>
        <x:v>0</x:v>
      </x:c>
      <x:c r="D20" s="44" t="n">
        <x:f>COUNT(Reviewer_B!E12:U12)</x:f>
        <x:v>0</x:v>
      </x:c>
      <x:c r="E20" s="84" t="str">
        <x:f>IF(COUNT(K20:AA20)&lt;17,"",AVERAGE(K20:AA20))</x:f>
      </x:c>
      <x:c r="F20" s="84" t="str">
        <x:f>IF(COUNT(K20:AA20)&lt;17,"",MAX(K20:AA20))</x:f>
      </x:c>
      <x:c r="G20" s="88" t="str">
        <x:f>IF(COUNT(K20:AA20)&lt;17,"",COUNTIF(K20:AA20,"&lt;=1")/17)</x:f>
      </x:c>
      <x:c r="H20" s="84" t="str">
        <x:f>IF(COUNT(Reviewer_A!E12:U12)&lt;17,"",(ABS(Reviewer_A!E12-Reference_Key!E12)+ABS(Reviewer_A!F12-Reference_Key!F12)+ABS(Reviewer_A!G12-Reference_Key!G12)+ABS(Reviewer_A!H12-Reference_Key!H12)+ABS(Reviewer_A!I12-Reference_Key!I12)+ABS(Reviewer_A!J12-Reference_Key!J12)+ABS(Reviewer_A!K12-Reference_Key!K12)+ABS(Reviewer_A!L12-Reference_Key!L12)+ABS(Reviewer_A!M12-Reference_Key!M12)+ABS(Reviewer_A!N12-Reference_Key!N12)+ABS(Reviewer_A!O12-Reference_Key!O12)+ABS(Reviewer_A!P12-Reference_Key!P12)+ABS(Reviewer_A!Q12-Reference_Key!Q12)+ABS(Reviewer_A!R12-Reference_Key!R12)+ABS(Reviewer_A!S12-Reference_Key!S12)+ABS(Reviewer_A!T12-Reference_Key!T12)+ABS(Reviewer_A!U12-Reference_Key!U12))/17)</x:f>
      </x:c>
      <x:c r="I20" s="84" t="str">
        <x:f>IF(COUNT(Reviewer_B!E12:U12)&lt;17,"",(ABS(Reviewer_B!E12-Reference_Key!E12)+ABS(Reviewer_B!F12-Reference_Key!F12)+ABS(Reviewer_B!G12-Reference_Key!G12)+ABS(Reviewer_B!H12-Reference_Key!H12)+ABS(Reviewer_B!I12-Reference_Key!I12)+ABS(Reviewer_B!J12-Reference_Key!J12)+ABS(Reviewer_B!K12-Reference_Key!K12)+ABS(Reviewer_B!L12-Reference_Key!L12)+ABS(Reviewer_B!M12-Reference_Key!M12)+ABS(Reviewer_B!N12-Reference_Key!N12)+ABS(Reviewer_B!O12-Reference_Key!O12)+ABS(Reviewer_B!P12-Reference_Key!P12)+ABS(Reviewer_B!Q12-Reference_Key!Q12)+ABS(Reviewer_B!R12-Reference_Key!R12)+ABS(Reviewer_B!S12-Reference_Key!S12)+ABS(Reviewer_B!T12-Reference_Key!T12)+ABS(Reviewer_B!U12-Reference_Key!U12))/17)</x:f>
      </x:c>
      <x:c r="J20" s="44" t="str">
        <x:f>IF(OR(C20&lt;17,D20&lt;17),"Incomplete",IF(F20&gt;1,"Discuss",IF(E20&lt;=0.5,"Aligned","Review")))</x:f>
        <x:v>Incomplete</x:v>
      </x:c>
      <x:c r="K20" s="44" t="str">
        <x:f>IF(OR(Reviewer_A!E12="",Reviewer_B!E12=""),"",ABS(Reviewer_A!E12-Reviewer_B!E12))</x:f>
      </x:c>
      <x:c r="L20" s="44" t="str">
        <x:f>IF(OR(Reviewer_A!F12="",Reviewer_B!F12=""),"",ABS(Reviewer_A!F12-Reviewer_B!F12))</x:f>
      </x:c>
      <x:c r="M20" s="44" t="str">
        <x:f>IF(OR(Reviewer_A!G12="",Reviewer_B!G12=""),"",ABS(Reviewer_A!G12-Reviewer_B!G12))</x:f>
      </x:c>
      <x:c r="N20" s="44" t="str">
        <x:f>IF(OR(Reviewer_A!H12="",Reviewer_B!H12=""),"",ABS(Reviewer_A!H12-Reviewer_B!H12))</x:f>
      </x:c>
      <x:c r="O20" s="44" t="str">
        <x:f>IF(OR(Reviewer_A!I12="",Reviewer_B!I12=""),"",ABS(Reviewer_A!I12-Reviewer_B!I12))</x:f>
      </x:c>
      <x:c r="P20" s="44" t="str">
        <x:f>IF(OR(Reviewer_A!J12="",Reviewer_B!J12=""),"",ABS(Reviewer_A!J12-Reviewer_B!J12))</x:f>
      </x:c>
      <x:c r="Q20" s="44" t="str">
        <x:f>IF(OR(Reviewer_A!K12="",Reviewer_B!K12=""),"",ABS(Reviewer_A!K12-Reviewer_B!K12))</x:f>
      </x:c>
      <x:c r="R20" s="44" t="str">
        <x:f>IF(OR(Reviewer_A!L12="",Reviewer_B!L12=""),"",ABS(Reviewer_A!L12-Reviewer_B!L12))</x:f>
      </x:c>
      <x:c r="S20" s="44" t="str">
        <x:f>IF(OR(Reviewer_A!M12="",Reviewer_B!M12=""),"",ABS(Reviewer_A!M12-Reviewer_B!M12))</x:f>
      </x:c>
      <x:c r="T20" s="44" t="str">
        <x:f>IF(OR(Reviewer_A!N12="",Reviewer_B!N12=""),"",ABS(Reviewer_A!N12-Reviewer_B!N12))</x:f>
      </x:c>
      <x:c r="U20" s="44" t="str">
        <x:f>IF(OR(Reviewer_A!O12="",Reviewer_B!O12=""),"",ABS(Reviewer_A!O12-Reviewer_B!O12))</x:f>
      </x:c>
      <x:c r="V20" s="44" t="str">
        <x:f>IF(OR(Reviewer_A!P12="",Reviewer_B!P12=""),"",ABS(Reviewer_A!P12-Reviewer_B!P12))</x:f>
      </x:c>
      <x:c r="W20" s="44" t="str">
        <x:f>IF(OR(Reviewer_A!Q12="",Reviewer_B!Q12=""),"",ABS(Reviewer_A!Q12-Reviewer_B!Q12))</x:f>
      </x:c>
      <x:c r="X20" s="44" t="str">
        <x:f>IF(OR(Reviewer_A!R12="",Reviewer_B!R12=""),"",ABS(Reviewer_A!R12-Reviewer_B!R12))</x:f>
      </x:c>
      <x:c r="Y20" s="44" t="str">
        <x:f>IF(OR(Reviewer_A!S12="",Reviewer_B!S12=""),"",ABS(Reviewer_A!S12-Reviewer_B!S12))</x:f>
      </x:c>
      <x:c r="Z20" s="44" t="str">
        <x:f>IF(OR(Reviewer_A!T12="",Reviewer_B!T12=""),"",ABS(Reviewer_A!T12-Reviewer_B!T12))</x:f>
      </x:c>
      <x:c r="AA20" s="45" t="str">
        <x:f>IF(OR(Reviewer_A!U12="",Reviewer_B!U12=""),"",ABS(Reviewer_A!U12-Reviewer_B!U12))</x:f>
      </x:c>
    </x:row>
    <x:row r="21" ht="42" customHeight="1">
      <x:c r="A21" s="44" t="str">
        <x:v>P08</x:v>
      </x:c>
      <x:c r="B21" s="44" t="str">
        <x:v>Balea med — Shampoo Ultra Sensitive</x:v>
      </x:c>
      <x:c r="C21" s="44" t="n">
        <x:f>COUNT(Reviewer_A!E13:U13)</x:f>
        <x:v>0</x:v>
      </x:c>
      <x:c r="D21" s="44" t="n">
        <x:f>COUNT(Reviewer_B!E13:U13)</x:f>
        <x:v>0</x:v>
      </x:c>
      <x:c r="E21" s="84" t="str">
        <x:f>IF(COUNT(K21:AA21)&lt;17,"",AVERAGE(K21:AA21))</x:f>
      </x:c>
      <x:c r="F21" s="84" t="str">
        <x:f>IF(COUNT(K21:AA21)&lt;17,"",MAX(K21:AA21))</x:f>
      </x:c>
      <x:c r="G21" s="88" t="str">
        <x:f>IF(COUNT(K21:AA21)&lt;17,"",COUNTIF(K21:AA21,"&lt;=1")/17)</x:f>
      </x:c>
      <x:c r="H21" s="84" t="str">
        <x:f>IF(COUNT(Reviewer_A!E13:U13)&lt;17,"",(ABS(Reviewer_A!E13-Reference_Key!E13)+ABS(Reviewer_A!F13-Reference_Key!F13)+ABS(Reviewer_A!G13-Reference_Key!G13)+ABS(Reviewer_A!H13-Reference_Key!H13)+ABS(Reviewer_A!I13-Reference_Key!I13)+ABS(Reviewer_A!J13-Reference_Key!J13)+ABS(Reviewer_A!K13-Reference_Key!K13)+ABS(Reviewer_A!L13-Reference_Key!L13)+ABS(Reviewer_A!M13-Reference_Key!M13)+ABS(Reviewer_A!N13-Reference_Key!N13)+ABS(Reviewer_A!O13-Reference_Key!O13)+ABS(Reviewer_A!P13-Reference_Key!P13)+ABS(Reviewer_A!Q13-Reference_Key!Q13)+ABS(Reviewer_A!R13-Reference_Key!R13)+ABS(Reviewer_A!S13-Reference_Key!S13)+ABS(Reviewer_A!T13-Reference_Key!T13)+ABS(Reviewer_A!U13-Reference_Key!U13))/17)</x:f>
      </x:c>
      <x:c r="I21" s="84" t="str">
        <x:f>IF(COUNT(Reviewer_B!E13:U13)&lt;17,"",(ABS(Reviewer_B!E13-Reference_Key!E13)+ABS(Reviewer_B!F13-Reference_Key!F13)+ABS(Reviewer_B!G13-Reference_Key!G13)+ABS(Reviewer_B!H13-Reference_Key!H13)+ABS(Reviewer_B!I13-Reference_Key!I13)+ABS(Reviewer_B!J13-Reference_Key!J13)+ABS(Reviewer_B!K13-Reference_Key!K13)+ABS(Reviewer_B!L13-Reference_Key!L13)+ABS(Reviewer_B!M13-Reference_Key!M13)+ABS(Reviewer_B!N13-Reference_Key!N13)+ABS(Reviewer_B!O13-Reference_Key!O13)+ABS(Reviewer_B!P13-Reference_Key!P13)+ABS(Reviewer_B!Q13-Reference_Key!Q13)+ABS(Reviewer_B!R13-Reference_Key!R13)+ABS(Reviewer_B!S13-Reference_Key!S13)+ABS(Reviewer_B!T13-Reference_Key!T13)+ABS(Reviewer_B!U13-Reference_Key!U13))/17)</x:f>
      </x:c>
      <x:c r="J21" s="44" t="str">
        <x:f>IF(OR(C21&lt;17,D21&lt;17),"Incomplete",IF(F21&gt;1,"Discuss",IF(E21&lt;=0.5,"Aligned","Review")))</x:f>
        <x:v>Incomplete</x:v>
      </x:c>
      <x:c r="K21" s="44" t="str">
        <x:f>IF(OR(Reviewer_A!E13="",Reviewer_B!E13=""),"",ABS(Reviewer_A!E13-Reviewer_B!E13))</x:f>
      </x:c>
      <x:c r="L21" s="44" t="str">
        <x:f>IF(OR(Reviewer_A!F13="",Reviewer_B!F13=""),"",ABS(Reviewer_A!F13-Reviewer_B!F13))</x:f>
      </x:c>
      <x:c r="M21" s="44" t="str">
        <x:f>IF(OR(Reviewer_A!G13="",Reviewer_B!G13=""),"",ABS(Reviewer_A!G13-Reviewer_B!G13))</x:f>
      </x:c>
      <x:c r="N21" s="44" t="str">
        <x:f>IF(OR(Reviewer_A!H13="",Reviewer_B!H13=""),"",ABS(Reviewer_A!H13-Reviewer_B!H13))</x:f>
      </x:c>
      <x:c r="O21" s="44" t="str">
        <x:f>IF(OR(Reviewer_A!I13="",Reviewer_B!I13=""),"",ABS(Reviewer_A!I13-Reviewer_B!I13))</x:f>
      </x:c>
      <x:c r="P21" s="44" t="str">
        <x:f>IF(OR(Reviewer_A!J13="",Reviewer_B!J13=""),"",ABS(Reviewer_A!J13-Reviewer_B!J13))</x:f>
      </x:c>
      <x:c r="Q21" s="44" t="str">
        <x:f>IF(OR(Reviewer_A!K13="",Reviewer_B!K13=""),"",ABS(Reviewer_A!K13-Reviewer_B!K13))</x:f>
      </x:c>
      <x:c r="R21" s="44" t="str">
        <x:f>IF(OR(Reviewer_A!L13="",Reviewer_B!L13=""),"",ABS(Reviewer_A!L13-Reviewer_B!L13))</x:f>
      </x:c>
      <x:c r="S21" s="44" t="str">
        <x:f>IF(OR(Reviewer_A!M13="",Reviewer_B!M13=""),"",ABS(Reviewer_A!M13-Reviewer_B!M13))</x:f>
      </x:c>
      <x:c r="T21" s="44" t="str">
        <x:f>IF(OR(Reviewer_A!N13="",Reviewer_B!N13=""),"",ABS(Reviewer_A!N13-Reviewer_B!N13))</x:f>
      </x:c>
      <x:c r="U21" s="44" t="str">
        <x:f>IF(OR(Reviewer_A!O13="",Reviewer_B!O13=""),"",ABS(Reviewer_A!O13-Reviewer_B!O13))</x:f>
      </x:c>
      <x:c r="V21" s="44" t="str">
        <x:f>IF(OR(Reviewer_A!P13="",Reviewer_B!P13=""),"",ABS(Reviewer_A!P13-Reviewer_B!P13))</x:f>
      </x:c>
      <x:c r="W21" s="44" t="str">
        <x:f>IF(OR(Reviewer_A!Q13="",Reviewer_B!Q13=""),"",ABS(Reviewer_A!Q13-Reviewer_B!Q13))</x:f>
      </x:c>
      <x:c r="X21" s="44" t="str">
        <x:f>IF(OR(Reviewer_A!R13="",Reviewer_B!R13=""),"",ABS(Reviewer_A!R13-Reviewer_B!R13))</x:f>
      </x:c>
      <x:c r="Y21" s="44" t="str">
        <x:f>IF(OR(Reviewer_A!S13="",Reviewer_B!S13=""),"",ABS(Reviewer_A!S13-Reviewer_B!S13))</x:f>
      </x:c>
      <x:c r="Z21" s="44" t="str">
        <x:f>IF(OR(Reviewer_A!T13="",Reviewer_B!T13=""),"",ABS(Reviewer_A!T13-Reviewer_B!T13))</x:f>
      </x:c>
      <x:c r="AA21" s="45" t="str">
        <x:f>IF(OR(Reviewer_A!U13="",Reviewer_B!U13=""),"",ABS(Reviewer_A!U13-Reviewer_B!U13))</x:f>
      </x:c>
    </x:row>
    <x:row r="22" ht="42" customHeight="1">
      <x:c r="A22" s="44" t="str">
        <x:v>P09</x:v>
      </x:c>
      <x:c r="B22" s="44" t="str">
        <x:v>Cantu — Cream Cleanse Shampoo</x:v>
      </x:c>
      <x:c r="C22" s="44" t="n">
        <x:f>COUNT(Reviewer_A!E14:U14)</x:f>
        <x:v>0</x:v>
      </x:c>
      <x:c r="D22" s="44" t="n">
        <x:f>COUNT(Reviewer_B!E14:U14)</x:f>
        <x:v>0</x:v>
      </x:c>
      <x:c r="E22" s="84" t="str">
        <x:f>IF(COUNT(K22:AA22)&lt;17,"",AVERAGE(K22:AA22))</x:f>
      </x:c>
      <x:c r="F22" s="84" t="str">
        <x:f>IF(COUNT(K22:AA22)&lt;17,"",MAX(K22:AA22))</x:f>
      </x:c>
      <x:c r="G22" s="88" t="str">
        <x:f>IF(COUNT(K22:AA22)&lt;17,"",COUNTIF(K22:AA22,"&lt;=1")/17)</x:f>
      </x:c>
      <x:c r="H22" s="84" t="str">
        <x:f>IF(COUNT(Reviewer_A!E14:U14)&lt;17,"",(ABS(Reviewer_A!E14-Reference_Key!E14)+ABS(Reviewer_A!F14-Reference_Key!F14)+ABS(Reviewer_A!G14-Reference_Key!G14)+ABS(Reviewer_A!H14-Reference_Key!H14)+ABS(Reviewer_A!I14-Reference_Key!I14)+ABS(Reviewer_A!J14-Reference_Key!J14)+ABS(Reviewer_A!K14-Reference_Key!K14)+ABS(Reviewer_A!L14-Reference_Key!L14)+ABS(Reviewer_A!M14-Reference_Key!M14)+ABS(Reviewer_A!N14-Reference_Key!N14)+ABS(Reviewer_A!O14-Reference_Key!O14)+ABS(Reviewer_A!P14-Reference_Key!P14)+ABS(Reviewer_A!Q14-Reference_Key!Q14)+ABS(Reviewer_A!R14-Reference_Key!R14)+ABS(Reviewer_A!S14-Reference_Key!S14)+ABS(Reviewer_A!T14-Reference_Key!T14)+ABS(Reviewer_A!U14-Reference_Key!U14))/17)</x:f>
      </x:c>
      <x:c r="I22" s="84" t="str">
        <x:f>IF(COUNT(Reviewer_B!E14:U14)&lt;17,"",(ABS(Reviewer_B!E14-Reference_Key!E14)+ABS(Reviewer_B!F14-Reference_Key!F14)+ABS(Reviewer_B!G14-Reference_Key!G14)+ABS(Reviewer_B!H14-Reference_Key!H14)+ABS(Reviewer_B!I14-Reference_Key!I14)+ABS(Reviewer_B!J14-Reference_Key!J14)+ABS(Reviewer_B!K14-Reference_Key!K14)+ABS(Reviewer_B!L14-Reference_Key!L14)+ABS(Reviewer_B!M14-Reference_Key!M14)+ABS(Reviewer_B!N14-Reference_Key!N14)+ABS(Reviewer_B!O14-Reference_Key!O14)+ABS(Reviewer_B!P14-Reference_Key!P14)+ABS(Reviewer_B!Q14-Reference_Key!Q14)+ABS(Reviewer_B!R14-Reference_Key!R14)+ABS(Reviewer_B!S14-Reference_Key!S14)+ABS(Reviewer_B!T14-Reference_Key!T14)+ABS(Reviewer_B!U14-Reference_Key!U14))/17)</x:f>
      </x:c>
      <x:c r="J22" s="44" t="str">
        <x:f>IF(OR(C22&lt;17,D22&lt;17),"Incomplete",IF(F22&gt;1,"Discuss",IF(E22&lt;=0.5,"Aligned","Review")))</x:f>
        <x:v>Incomplete</x:v>
      </x:c>
      <x:c r="K22" s="44" t="str">
        <x:f>IF(OR(Reviewer_A!E14="",Reviewer_B!E14=""),"",ABS(Reviewer_A!E14-Reviewer_B!E14))</x:f>
      </x:c>
      <x:c r="L22" s="44" t="str">
        <x:f>IF(OR(Reviewer_A!F14="",Reviewer_B!F14=""),"",ABS(Reviewer_A!F14-Reviewer_B!F14))</x:f>
      </x:c>
      <x:c r="M22" s="44" t="str">
        <x:f>IF(OR(Reviewer_A!G14="",Reviewer_B!G14=""),"",ABS(Reviewer_A!G14-Reviewer_B!G14))</x:f>
      </x:c>
      <x:c r="N22" s="44" t="str">
        <x:f>IF(OR(Reviewer_A!H14="",Reviewer_B!H14=""),"",ABS(Reviewer_A!H14-Reviewer_B!H14))</x:f>
      </x:c>
      <x:c r="O22" s="44" t="str">
        <x:f>IF(OR(Reviewer_A!I14="",Reviewer_B!I14=""),"",ABS(Reviewer_A!I14-Reviewer_B!I14))</x:f>
      </x:c>
      <x:c r="P22" s="44" t="str">
        <x:f>IF(OR(Reviewer_A!J14="",Reviewer_B!J14=""),"",ABS(Reviewer_A!J14-Reviewer_B!J14))</x:f>
      </x:c>
      <x:c r="Q22" s="44" t="str">
        <x:f>IF(OR(Reviewer_A!K14="",Reviewer_B!K14=""),"",ABS(Reviewer_A!K14-Reviewer_B!K14))</x:f>
      </x:c>
      <x:c r="R22" s="44" t="str">
        <x:f>IF(OR(Reviewer_A!L14="",Reviewer_B!L14=""),"",ABS(Reviewer_A!L14-Reviewer_B!L14))</x:f>
      </x:c>
      <x:c r="S22" s="44" t="str">
        <x:f>IF(OR(Reviewer_A!M14="",Reviewer_B!M14=""),"",ABS(Reviewer_A!M14-Reviewer_B!M14))</x:f>
      </x:c>
      <x:c r="T22" s="44" t="str">
        <x:f>IF(OR(Reviewer_A!N14="",Reviewer_B!N14=""),"",ABS(Reviewer_A!N14-Reviewer_B!N14))</x:f>
      </x:c>
      <x:c r="U22" s="44" t="str">
        <x:f>IF(OR(Reviewer_A!O14="",Reviewer_B!O14=""),"",ABS(Reviewer_A!O14-Reviewer_B!O14))</x:f>
      </x:c>
      <x:c r="V22" s="44" t="str">
        <x:f>IF(OR(Reviewer_A!P14="",Reviewer_B!P14=""),"",ABS(Reviewer_A!P14-Reviewer_B!P14))</x:f>
      </x:c>
      <x:c r="W22" s="44" t="str">
        <x:f>IF(OR(Reviewer_A!Q14="",Reviewer_B!Q14=""),"",ABS(Reviewer_A!Q14-Reviewer_B!Q14))</x:f>
      </x:c>
      <x:c r="X22" s="44" t="str">
        <x:f>IF(OR(Reviewer_A!R14="",Reviewer_B!R14=""),"",ABS(Reviewer_A!R14-Reviewer_B!R14))</x:f>
      </x:c>
      <x:c r="Y22" s="44" t="str">
        <x:f>IF(OR(Reviewer_A!S14="",Reviewer_B!S14=""),"",ABS(Reviewer_A!S14-Reviewer_B!S14))</x:f>
      </x:c>
      <x:c r="Z22" s="44" t="str">
        <x:f>IF(OR(Reviewer_A!T14="",Reviewer_B!T14=""),"",ABS(Reviewer_A!T14-Reviewer_B!T14))</x:f>
      </x:c>
      <x:c r="AA22" s="45" t="str">
        <x:f>IF(OR(Reviewer_A!U14="",Reviewer_B!U14=""),"",ABS(Reviewer_A!U14-Reviewer_B!U14))</x:f>
      </x:c>
    </x:row>
    <x:row r="23" ht="42" customHeight="1">
      <x:c r="A23" s="46" t="str">
        <x:v>P10</x:v>
      </x:c>
      <x:c r="B23" s="46" t="str">
        <x:v>Head &amp; Shoulders — Anti-Schuppen Shampoo Classic Clean</x:v>
      </x:c>
      <x:c r="C23" s="46" t="n">
        <x:f>COUNT(Reviewer_A!E15:U15)</x:f>
        <x:v>0</x:v>
      </x:c>
      <x:c r="D23" s="46" t="n">
        <x:f>COUNT(Reviewer_B!E15:U15)</x:f>
        <x:v>0</x:v>
      </x:c>
      <x:c r="E23" s="85" t="str">
        <x:f>IF(COUNT(K23:AA23)&lt;17,"",AVERAGE(K23:AA23))</x:f>
      </x:c>
      <x:c r="F23" s="85" t="str">
        <x:f>IF(COUNT(K23:AA23)&lt;17,"",MAX(K23:AA23))</x:f>
      </x:c>
      <x:c r="G23" s="89" t="str">
        <x:f>IF(COUNT(K23:AA23)&lt;17,"",COUNTIF(K23:AA23,"&lt;=1")/17)</x:f>
      </x:c>
      <x:c r="H23" s="85" t="str">
        <x:f>IF(COUNT(Reviewer_A!E15:U15)&lt;17,"",(ABS(Reviewer_A!E15-Reference_Key!E15)+ABS(Reviewer_A!F15-Reference_Key!F15)+ABS(Reviewer_A!G15-Reference_Key!G15)+ABS(Reviewer_A!H15-Reference_Key!H15)+ABS(Reviewer_A!I15-Reference_Key!I15)+ABS(Reviewer_A!J15-Reference_Key!J15)+ABS(Reviewer_A!K15-Reference_Key!K15)+ABS(Reviewer_A!L15-Reference_Key!L15)+ABS(Reviewer_A!M15-Reference_Key!M15)+ABS(Reviewer_A!N15-Reference_Key!N15)+ABS(Reviewer_A!O15-Reference_Key!O15)+ABS(Reviewer_A!P15-Reference_Key!P15)+ABS(Reviewer_A!Q15-Reference_Key!Q15)+ABS(Reviewer_A!R15-Reference_Key!R15)+ABS(Reviewer_A!S15-Reference_Key!S15)+ABS(Reviewer_A!T15-Reference_Key!T15)+ABS(Reviewer_A!U15-Reference_Key!U15))/17)</x:f>
      </x:c>
      <x:c r="I23" s="85" t="str">
        <x:f>IF(COUNT(Reviewer_B!E15:U15)&lt;17,"",(ABS(Reviewer_B!E15-Reference_Key!E15)+ABS(Reviewer_B!F15-Reference_Key!F15)+ABS(Reviewer_B!G15-Reference_Key!G15)+ABS(Reviewer_B!H15-Reference_Key!H15)+ABS(Reviewer_B!I15-Reference_Key!I15)+ABS(Reviewer_B!J15-Reference_Key!J15)+ABS(Reviewer_B!K15-Reference_Key!K15)+ABS(Reviewer_B!L15-Reference_Key!L15)+ABS(Reviewer_B!M15-Reference_Key!M15)+ABS(Reviewer_B!N15-Reference_Key!N15)+ABS(Reviewer_B!O15-Reference_Key!O15)+ABS(Reviewer_B!P15-Reference_Key!P15)+ABS(Reviewer_B!Q15-Reference_Key!Q15)+ABS(Reviewer_B!R15-Reference_Key!R15)+ABS(Reviewer_B!S15-Reference_Key!S15)+ABS(Reviewer_B!T15-Reference_Key!T15)+ABS(Reviewer_B!U15-Reference_Key!U15))/17)</x:f>
      </x:c>
      <x:c r="J23" s="46" t="str">
        <x:f>IF(OR(C23&lt;17,D23&lt;17),"Incomplete",IF(F23&gt;1,"Discuss",IF(E23&lt;=0.5,"Aligned","Review")))</x:f>
        <x:v>Incomplete</x:v>
      </x:c>
      <x:c r="K23" s="46" t="str">
        <x:f>IF(OR(Reviewer_A!E15="",Reviewer_B!E15=""),"",ABS(Reviewer_A!E15-Reviewer_B!E15))</x:f>
      </x:c>
      <x:c r="L23" s="46" t="str">
        <x:f>IF(OR(Reviewer_A!F15="",Reviewer_B!F15=""),"",ABS(Reviewer_A!F15-Reviewer_B!F15))</x:f>
      </x:c>
      <x:c r="M23" s="46" t="str">
        <x:f>IF(OR(Reviewer_A!G15="",Reviewer_B!G15=""),"",ABS(Reviewer_A!G15-Reviewer_B!G15))</x:f>
      </x:c>
      <x:c r="N23" s="46" t="str">
        <x:f>IF(OR(Reviewer_A!H15="",Reviewer_B!H15=""),"",ABS(Reviewer_A!H15-Reviewer_B!H15))</x:f>
      </x:c>
      <x:c r="O23" s="46" t="str">
        <x:f>IF(OR(Reviewer_A!I15="",Reviewer_B!I15=""),"",ABS(Reviewer_A!I15-Reviewer_B!I15))</x:f>
      </x:c>
      <x:c r="P23" s="46" t="str">
        <x:f>IF(OR(Reviewer_A!J15="",Reviewer_B!J15=""),"",ABS(Reviewer_A!J15-Reviewer_B!J15))</x:f>
      </x:c>
      <x:c r="Q23" s="46" t="str">
        <x:f>IF(OR(Reviewer_A!K15="",Reviewer_B!K15=""),"",ABS(Reviewer_A!K15-Reviewer_B!K15))</x:f>
      </x:c>
      <x:c r="R23" s="46" t="str">
        <x:f>IF(OR(Reviewer_A!L15="",Reviewer_B!L15=""),"",ABS(Reviewer_A!L15-Reviewer_B!L15))</x:f>
      </x:c>
      <x:c r="S23" s="46" t="str">
        <x:f>IF(OR(Reviewer_A!M15="",Reviewer_B!M15=""),"",ABS(Reviewer_A!M15-Reviewer_B!M15))</x:f>
      </x:c>
      <x:c r="T23" s="46" t="str">
        <x:f>IF(OR(Reviewer_A!N15="",Reviewer_B!N15=""),"",ABS(Reviewer_A!N15-Reviewer_B!N15))</x:f>
      </x:c>
      <x:c r="U23" s="46" t="str">
        <x:f>IF(OR(Reviewer_A!O15="",Reviewer_B!O15=""),"",ABS(Reviewer_A!O15-Reviewer_B!O15))</x:f>
      </x:c>
      <x:c r="V23" s="46" t="str">
        <x:f>IF(OR(Reviewer_A!P15="",Reviewer_B!P15=""),"",ABS(Reviewer_A!P15-Reviewer_B!P15))</x:f>
      </x:c>
      <x:c r="W23" s="46" t="str">
        <x:f>IF(OR(Reviewer_A!Q15="",Reviewer_B!Q15=""),"",ABS(Reviewer_A!Q15-Reviewer_B!Q15))</x:f>
      </x:c>
      <x:c r="X23" s="46" t="str">
        <x:f>IF(OR(Reviewer_A!R15="",Reviewer_B!R15=""),"",ABS(Reviewer_A!R15-Reviewer_B!R15))</x:f>
      </x:c>
      <x:c r="Y23" s="46" t="str">
        <x:f>IF(OR(Reviewer_A!S15="",Reviewer_B!S15=""),"",ABS(Reviewer_A!S15-Reviewer_B!S15))</x:f>
      </x:c>
      <x:c r="Z23" s="46" t="str">
        <x:f>IF(OR(Reviewer_A!T15="",Reviewer_B!T15=""),"",ABS(Reviewer_A!T15-Reviewer_B!T15))</x:f>
      </x:c>
      <x:c r="AA23" s="47" t="str">
        <x:f>IF(OR(Reviewer_A!U15="",Reviewer_B!U15=""),"",ABS(Reviewer_A!U15-Reviewer_B!U15))</x:f>
      </x:c>
    </x:row>
    <x:row r="26">
      <x:c r="A26" s="24" t="str">
        <x:v>Dimension</x:v>
      </x:c>
      <x:c r="B26" s="67" t="str">
        <x:v>Mean A/B difference</x:v>
      </x:c>
      <x:c r="C26" s="25" t="str">
        <x:v>Interpretation</x:v>
      </x:c>
    </x:row>
    <x:row r="27" ht="30" customHeight="1">
      <x:c r="A27" s="44" t="str">
        <x:v>CLN — Cleansing potential</x:v>
      </x:c>
      <x:c r="B27" s="84" t="str">
        <x:f>IF(COUNT(K14:K23)=0,"",AVERAGE(K14:K23))</x:f>
      </x:c>
      <x:c r="C27" s="45" t="str">
        <x:f>IF(B27="","",IF(B27&lt;=0.5,"Stable",IF(B27&lt;=1,"Review anchors","High drift")))</x:f>
      </x:c>
    </x:row>
    <x:row r="28" ht="30" customHeight="1">
      <x:c r="A28" s="44" t="str">
        <x:v>COND — Conditioning/deposition</x:v>
      </x:c>
      <x:c r="B28" s="84" t="str">
        <x:f>IF(COUNT(L14:L23)=0,"",AVERAGE(L14:L23))</x:f>
      </x:c>
      <x:c r="C28" s="45" t="str">
        <x:f>IF(B28="","",IF(B28&lt;=0.5,"Stable",IF(B28&lt;=1,"Review anchors","High drift")))</x:f>
      </x:c>
    </x:row>
    <x:row r="29" ht="30" customHeight="1">
      <x:c r="A29" s="44" t="str">
        <x:v>WT — Weight/buildup potential</x:v>
      </x:c>
      <x:c r="B29" s="84" t="str">
        <x:f>IF(COUNT(M14:M23)=0,"",AVERAGE(M14:M23))</x:f>
      </x:c>
      <x:c r="C29" s="45" t="str">
        <x:f>IF(B29="","",IF(B29&lt;=0.5,"Stable",IF(B29&lt;=1,"Review anchors","High drift")))</x:f>
      </x:c>
    </x:row>
    <x:row r="30" ht="30" customHeight="1">
      <x:c r="A30" s="44" t="str">
        <x:v>S1 — Shine: deposition/smoothing</x:v>
      </x:c>
      <x:c r="B30" s="84" t="str">
        <x:f>IF(COUNT(N14:N23)=0,"",AVERAGE(N14:N23))</x:f>
      </x:c>
      <x:c r="C30" s="45" t="str">
        <x:f>IF(B30="","",IF(B30&lt;=0.5,"Stable",IF(B30&lt;=1,"Review anchors","High drift")))</x:f>
      </x:c>
    </x:row>
    <x:row r="31" ht="30" customHeight="1">
      <x:c r="A31" s="44" t="str">
        <x:v>S2 — Shine: acidic surface route</x:v>
      </x:c>
      <x:c r="B31" s="84" t="str">
        <x:f>IF(COUNT(O14:O23)=0,"",AVERAGE(O14:O23))</x:f>
      </x:c>
      <x:c r="C31" s="45" t="str">
        <x:f>IF(B31="","",IF(B31&lt;=0.5,"Stable",IF(B31&lt;=1,"Review anchors","High drift")))</x:f>
      </x:c>
    </x:row>
    <x:row r="32" ht="30" customHeight="1">
      <x:c r="A32" s="44" t="str">
        <x:v>S3 — Shine: removal route</x:v>
      </x:c>
      <x:c r="B32" s="84" t="str">
        <x:f>IF(COUNT(P14:P23)=0,"",AVERAGE(P14:P23))</x:f>
      </x:c>
      <x:c r="C32" s="45" t="str">
        <x:f>IF(B32="","",IF(B32&lt;=0.5,"Stable",IF(B32&lt;=1,"Review anchors","High drift")))</x:f>
      </x:c>
    </x:row>
    <x:row r="33" ht="30" customHeight="1">
      <x:c r="A33" s="44" t="str">
        <x:v>S4 — Shine: optical/color route</x:v>
      </x:c>
      <x:c r="B33" s="84" t="str">
        <x:f>IF(COUNT(Q14:Q23)=0,"",AVERAGE(Q14:Q23))</x:f>
      </x:c>
      <x:c r="C33" s="45" t="str">
        <x:f>IF(B33="","",IF(B33&lt;=0.5,"Stable",IF(B33&lt;=1,"Review anchors","High drift")))</x:f>
      </x:c>
    </x:row>
    <x:row r="34" ht="30" customHeight="1">
      <x:c r="A34" s="44" t="str">
        <x:v>V1 — Volume: clean/light</x:v>
      </x:c>
      <x:c r="B34" s="84" t="str">
        <x:f>IF(COUNT(R14:R23)=0,"",AVERAGE(R14:R23))</x:f>
      </x:c>
      <x:c r="C34" s="45" t="str">
        <x:f>IF(B34="","",IF(B34&lt;=0.5,"Stable",IF(B34&lt;=1,"Review anchors","High drift")))</x:f>
      </x:c>
    </x:row>
    <x:row r="35" ht="30" customHeight="1">
      <x:c r="A35" s="44" t="str">
        <x:v>V2 — Volume: bodying film</x:v>
      </x:c>
      <x:c r="B35" s="84" t="str">
        <x:f>IF(COUNT(S14:S23)=0,"",AVERAGE(S14:S23))</x:f>
      </x:c>
      <x:c r="C35" s="45" t="str">
        <x:f>IF(B35="","",IF(B35&lt;=0.5,"Stable",IF(B35&lt;=1,"Review anchors","High drift")))</x:f>
      </x:c>
    </x:row>
    <x:row r="36" ht="30" customHeight="1">
      <x:c r="A36" s="44" t="str">
        <x:v>V3 — Volume: reset</x:v>
      </x:c>
      <x:c r="B36" s="84" t="str">
        <x:f>IF(COUNT(T14:T23)=0,"",AVERAGE(T14:T23))</x:f>
      </x:c>
      <x:c r="C36" s="45" t="str">
        <x:f>IF(B36="","",IF(B36&lt;=0.5,"Stable",IF(B36&lt;=1,"Review anchors","High drift")))</x:f>
      </x:c>
    </x:row>
    <x:row r="37" ht="30" customHeight="1">
      <x:c r="A37" s="44" t="str">
        <x:v>R1 — Repair: lubrication</x:v>
      </x:c>
      <x:c r="B37" s="84" t="str">
        <x:f>IF(COUNT(U14:U23)=0,"",AVERAGE(U14:U23))</x:f>
      </x:c>
      <x:c r="C37" s="45" t="str">
        <x:f>IF(B37="","",IF(B37&lt;=0.5,"Stable",IF(B37&lt;=1,"Review anchors","High drift")))</x:f>
      </x:c>
    </x:row>
    <x:row r="38" ht="30" customHeight="1">
      <x:c r="A38" s="44" t="str">
        <x:v>R2 — Repair: surface film</x:v>
      </x:c>
      <x:c r="B38" s="84" t="str">
        <x:f>IF(COUNT(V14:V23)=0,"",AVERAGE(V14:V23))</x:f>
      </x:c>
      <x:c r="C38" s="45" t="str">
        <x:f>IF(B38="","",IF(B38&lt;=0.5,"Stable",IF(B38&lt;=1,"Review anchors","High drift")))</x:f>
      </x:c>
    </x:row>
    <x:row r="39" ht="30" customHeight="1">
      <x:c r="A39" s="44" t="str">
        <x:v>R3 — Repair: bond-specific</x:v>
      </x:c>
      <x:c r="B39" s="84" t="str">
        <x:f>IF(COUNT(W14:W23)=0,"",AVERAGE(W14:W23))</x:f>
      </x:c>
      <x:c r="C39" s="45" t="str">
        <x:f>IF(B39="","",IF(B39&lt;=0.5,"Stable",IF(B39&lt;=1,"Review anchors","High drift")))</x:f>
      </x:c>
    </x:row>
    <x:row r="40" ht="30" customHeight="1">
      <x:c r="A40" s="44" t="str">
        <x:v>R4 — Repair: prevention</x:v>
      </x:c>
      <x:c r="B40" s="84" t="str">
        <x:f>IF(COUNT(X14:X23)=0,"",AVERAGE(X14:X23))</x:f>
      </x:c>
      <x:c r="C40" s="45" t="str">
        <x:f>IF(B40="","",IF(B40&lt;=0.5,"Stable",IF(B40&lt;=1,"Review anchors","High drift")))</x:f>
      </x:c>
    </x:row>
    <x:row r="41" ht="30" customHeight="1">
      <x:c r="A41" s="44" t="str">
        <x:v>OC — Organic clarification</x:v>
      </x:c>
      <x:c r="B41" s="84" t="str">
        <x:f>IF(COUNT(Y14:Y23)=0,"",AVERAGE(Y14:Y23))</x:f>
      </x:c>
      <x:c r="C41" s="45" t="str">
        <x:f>IF(B41="","",IF(B41&lt;=0.5,"Stable",IF(B41&lt;=1,"Review anchors","High drift")))</x:f>
      </x:c>
    </x:row>
    <x:row r="42" ht="30" customHeight="1">
      <x:c r="A42" s="44" t="str">
        <x:v>IC — Inorganic chelation</x:v>
      </x:c>
      <x:c r="B42" s="84" t="str">
        <x:f>IF(COUNT(Z14:Z23)=0,"",AVERAGE(Z14:Z23))</x:f>
      </x:c>
      <x:c r="C42" s="45" t="str">
        <x:f>IF(B42="","",IF(B42&lt;=0.5,"Stable",IF(B42&lt;=1,"Review anchors","High drift")))</x:f>
      </x:c>
    </x:row>
    <x:row r="43" ht="30" customHeight="1">
      <x:c r="A43" s="46" t="str">
        <x:v>MILD — Mildness potential</x:v>
      </x:c>
      <x:c r="B43" s="85" t="str">
        <x:f>IF(COUNT(AA14:AA23)=0,"",AVERAGE(AA14:AA23))</x:f>
      </x:c>
      <x:c r="C43" s="47" t="str">
        <x:f>IF(B43="","",IF(B43&lt;=0.5,"Stable",IF(B43&lt;=1,"Review anchors","High drift")))</x:f>
      </x:c>
    </x:row>
  </x:sheetData>
  <x:mergeCells>
    <x:mergeCell ref="A1:AA1"/>
    <x:mergeCell ref="A2:AA2"/>
  </x:mergeCells>
  <x:conditionalFormatting sqref="K14:AA23">
    <x:cfRule type="colorScale" priority="1">
      <x:colorScale>
        <x:cfvo type="min"/>
        <x:cfvo type="percentile" val="50"/>
        <x:cfvo type="max"/>
        <x:color rgb="FFE6F4EA"/>
        <x:color rgb="FFF3E7BD"/>
        <x:color rgb="FFF4A6A0"/>
      </x:colorScale>
    </x:cfRule>
  </x:conditionalFormatting>
  <x:conditionalFormatting sqref="B27:B43">
    <x:cfRule type="colorScale" priority="2">
      <x:colorScale>
        <x:cfvo type="min"/>
        <x:cfvo type="percentile" val="50"/>
        <x:cfvo type="max"/>
        <x:color rgb="FFE6F4EA"/>
        <x:color rgb="FFF3E7BD"/>
        <x:color rgb="FFF4A6A0"/>
      </x:colorScale>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7" hidden="0" customWidth="1"/>
    <x:col min="2" max="2" width="34" hidden="0" customWidth="1"/>
    <x:col min="3" max="3" width="23"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10" hidden="0" customWidth="1"/>
    <x:col min="22" max="22" width="48" hidden="0" customWidth="1"/>
    <x:col min="23" max="23" width="52" hidden="0" customWidth="1"/>
    <x:col min="24" max="24" width="48" hidden="0" customWidth="1"/>
    <x:col min="25" max="25" width="45" hidden="0" customWidth="1"/>
  </x:cols>
  <x:sheetData>
    <x:row r="1" ht="34" customHeight="1">
      <x:c r="A1" s="105" t="str">
        <x:v>Mechanism-first agent pass v0.1</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row>
    <x:row r="2" ht="30" customHeight="1">
      <x:c r="A2" s="109" t="str">
        <x:v>A deterministic first pass intended to expose rule weaknesses. It is compared with the proposed expert key but does not replace an independent human/agent reviewer.</x:v>
      </x:c>
      <x:c r="B2" s="109"/>
      <x:c r="C2" s="109"/>
      <x:c r="D2" s="109"/>
      <x:c r="E2" s="109"/>
      <x:c r="F2" s="109"/>
      <x:c r="G2" s="109"/>
      <x:c r="H2" s="109"/>
      <x:c r="I2" s="109"/>
      <x:c r="J2" s="109"/>
      <x:c r="K2" s="109"/>
      <x:c r="L2" s="109"/>
      <x:c r="M2" s="109"/>
      <x:c r="N2" s="109"/>
      <x:c r="O2" s="109"/>
      <x:c r="P2" s="109"/>
      <x:c r="Q2" s="109"/>
      <x:c r="R2" s="109"/>
      <x:c r="S2" s="109"/>
      <x:c r="T2" s="109"/>
      <x:c r="U2" s="109"/>
      <x:c r="V2" s="109"/>
      <x:c r="W2" s="109"/>
      <x:c r="X2" s="109"/>
      <x:c r="Y2" s="109"/>
    </x:row>
    <x:row r="4">
      <x:c r="D4" s="112" t="str">
        <x:v>Core architecture</x:v>
      </x:c>
      <x:c r="E4" s="112"/>
      <x:c r="F4" s="112"/>
      <x:c r="G4" s="112" t="str">
        <x:v>Shine routes</x:v>
      </x:c>
      <x:c r="H4" s="112"/>
      <x:c r="I4" s="112"/>
      <x:c r="J4" s="112"/>
      <x:c r="K4" s="112" t="str">
        <x:v>Volume routes</x:v>
      </x:c>
      <x:c r="L4" s="112"/>
      <x:c r="M4" s="112"/>
      <x:c r="N4" s="112" t="str">
        <x:v>Repair routes</x:v>
      </x:c>
      <x:c r="O4" s="112"/>
      <x:c r="P4" s="112"/>
      <x:c r="Q4" s="112"/>
      <x:c r="R4" s="112" t="str">
        <x:v>Clarification + mildness</x:v>
      </x:c>
      <x:c r="S4" s="112"/>
      <x:c r="T4" s="112"/>
    </x:row>
    <x:row r="5">
      <x:c r="A5" s="124" t="str">
        <x:v>ID</x:v>
      </x:c>
      <x:c r="B5" s="125" t="str">
        <x:v>Product</x:v>
      </x:c>
      <x:c r="C5" s="125" t="str">
        <x:v>Method</x:v>
      </x:c>
      <x:c r="D5" s="125" t="str">
        <x:v>CLN</x:v>
      </x:c>
      <x:c r="E5" s="125" t="str">
        <x:v>COND</x:v>
      </x:c>
      <x:c r="F5" s="125" t="str">
        <x:v>WT</x:v>
      </x:c>
      <x:c r="G5" s="125" t="str">
        <x:v>S1</x:v>
      </x:c>
      <x:c r="H5" s="125" t="str">
        <x:v>S2</x:v>
      </x:c>
      <x:c r="I5" s="125" t="str">
        <x:v>S3</x:v>
      </x:c>
      <x:c r="J5" s="125" t="str">
        <x:v>S4</x:v>
      </x:c>
      <x:c r="K5" s="125" t="str">
        <x:v>V1</x:v>
      </x:c>
      <x:c r="L5" s="125" t="str">
        <x:v>V2</x:v>
      </x:c>
      <x:c r="M5" s="125" t="str">
        <x:v>V3</x:v>
      </x:c>
      <x:c r="N5" s="125" t="str">
        <x:v>R1</x:v>
      </x:c>
      <x:c r="O5" s="125" t="str">
        <x:v>R2</x:v>
      </x:c>
      <x:c r="P5" s="125" t="str">
        <x:v>R3</x:v>
      </x:c>
      <x:c r="Q5" s="125" t="str">
        <x:v>R4</x:v>
      </x:c>
      <x:c r="R5" s="125" t="str">
        <x:v>OC</x:v>
      </x:c>
      <x:c r="S5" s="125" t="str">
        <x:v>IC</x:v>
      </x:c>
      <x:c r="T5" s="125" t="str">
        <x:v>MILD</x:v>
      </x:c>
      <x:c r="U5" s="125" t="str">
        <x:v>Evidence</x:v>
      </x:c>
      <x:c r="V5" s="125" t="str">
        <x:v>Key formula triggers</x:v>
      </x:c>
      <x:c r="W5" s="125" t="str">
        <x:v>Known rule limitation</x:v>
      </x:c>
      <x:c r="X5" s="125" t="str">
        <x:v>Rule-pass verdict</x:v>
      </x:c>
      <x:c r="Y5" s="126" t="str">
        <x:v>Source URL</x:v>
      </x:c>
    </x:row>
    <x:row r="6" ht="92" customHeight="1">
      <x:c r="A6" s="129" t="str">
        <x:v>P01</x:v>
      </x:c>
      <x:c r="B6" s="129" t="str">
        <x:v>Balea — Shampoo Volumen</x:v>
      </x:c>
      <x:c r="C6" s="129" t="str">
        <x:v>Formula/route rules v0.1</x:v>
      </x:c>
      <x:c r="D6" s="129" t="n">
        <x:v>3</x:v>
      </x:c>
      <x:c r="E6" s="129" t="n">
        <x:v>1</x:v>
      </x:c>
      <x:c r="F6" s="129" t="n">
        <x:v>1</x:v>
      </x:c>
      <x:c r="G6" s="129" t="n">
        <x:v>1</x:v>
      </x:c>
      <x:c r="H6" s="129" t="n">
        <x:v>1</x:v>
      </x:c>
      <x:c r="I6" s="129" t="n">
        <x:v>1</x:v>
      </x:c>
      <x:c r="J6" s="129" t="n">
        <x:v>0</x:v>
      </x:c>
      <x:c r="K6" s="129" t="n">
        <x:v>3</x:v>
      </x:c>
      <x:c r="L6" s="129" t="n">
        <x:v>1</x:v>
      </x:c>
      <x:c r="M6" s="129" t="n">
        <x:v>0</x:v>
      </x:c>
      <x:c r="N6" s="129" t="n">
        <x:v>1</x:v>
      </x:c>
      <x:c r="O6" s="129" t="n">
        <x:v>0</x:v>
      </x:c>
      <x:c r="P6" s="129" t="n">
        <x:v>0</x:v>
      </x:c>
      <x:c r="Q6" s="129" t="n">
        <x:v>1</x:v>
      </x:c>
      <x:c r="R6" s="129" t="n">
        <x:v>1</x:v>
      </x:c>
      <x:c r="S6" s="129" t="n">
        <x:v>0</x:v>
      </x:c>
      <x:c r="T6" s="129" t="n">
        <x:v>2</x:v>
      </x:c>
      <x:c r="U6" s="129" t="str">
        <x:v>E2</x:v>
      </x:c>
      <x:c r="V6" s="129" t="str">
        <x:v>SLES/betaine cleansing, no silicone, light cationic starch.</x:v>
      </x:c>
      <x:c r="W6" s="129" t="str">
        <x:v>Any acid and generic conditioning were deliberately allowed to trigger weak S2/R4 signals; calibration should test whether that rule is too permissive.</x:v>
      </x:c>
      <x:c r="X6" s="129" t="str">
        <x:v>Rule pass: clean-and-light volume with limited conditioning.</x:v>
      </x:c>
      <x:c r="Y6" s="45" t="str">
        <x:v>https://www.dm.de/p/d/1679755/balea-shampoo-volumen</x:v>
      </x:c>
    </x:row>
    <x:row r="7" ht="92" customHeight="1">
      <x:c r="A7" s="129" t="str">
        <x:v>P02</x:v>
      </x:c>
      <x:c r="B7" s="129" t="str">
        <x:v>John Frieda — Volume Lift Shampoo</x:v>
      </x:c>
      <x:c r="C7" s="129" t="str">
        <x:v>Formula/route rules v0.1</x:v>
      </x:c>
      <x:c r="D7" s="129" t="n">
        <x:v>3</x:v>
      </x:c>
      <x:c r="E7" s="129" t="n">
        <x:v>2</x:v>
      </x:c>
      <x:c r="F7" s="129" t="n">
        <x:v>1</x:v>
      </x:c>
      <x:c r="G7" s="129" t="n">
        <x:v>2</x:v>
      </x:c>
      <x:c r="H7" s="129" t="n">
        <x:v>2</x:v>
      </x:c>
      <x:c r="I7" s="129" t="n">
        <x:v>1</x:v>
      </x:c>
      <x:c r="J7" s="129" t="n">
        <x:v>0</x:v>
      </x:c>
      <x:c r="K7" s="129" t="n">
        <x:v>3</x:v>
      </x:c>
      <x:c r="L7" s="129" t="n">
        <x:v>3</x:v>
      </x:c>
      <x:c r="M7" s="129" t="n">
        <x:v>0</x:v>
      </x:c>
      <x:c r="N7" s="129" t="n">
        <x:v>2</x:v>
      </x:c>
      <x:c r="O7" s="129" t="n">
        <x:v>3</x:v>
      </x:c>
      <x:c r="P7" s="129" t="n">
        <x:v>0</x:v>
      </x:c>
      <x:c r="Q7" s="129" t="n">
        <x:v>2</x:v>
      </x:c>
      <x:c r="R7" s="129" t="n">
        <x:v>1</x:v>
      </x:c>
      <x:c r="S7" s="129" t="n">
        <x:v>1</x:v>
      </x:c>
      <x:c r="T7" s="129" t="n">
        <x:v>2</x:v>
      </x:c>
      <x:c r="U7" s="129" t="str">
        <x:v>E2</x:v>
      </x:c>
      <x:c r="V7" s="129" t="str">
        <x:v>SLES blend, cationic guar, glyceryl oleate and several hydrolyzed proteins.</x:v>
      </x:c>
      <x:c r="W7" s="129" t="str">
        <x:v>Protein presence may overstate film repair/body because concentration and deposition are unknown.</x:v>
      </x:c>
      <x:c r="X7" s="129" t="str">
        <x:v>Rule pass: legitimate cleansing-plus-bodying volume architecture.</x:v>
      </x:c>
      <x:c r="Y7" s="45" t="str">
        <x:v>https://www.dm.de/p/d/3123431/john-frieda-shampoo-volume-lift</x:v>
      </x:c>
    </x:row>
    <x:row r="8" ht="92" customHeight="1">
      <x:c r="A8" s="129" t="str">
        <x:v>P03</x:v>
      </x:c>
      <x:c r="B8" s="129" t="str">
        <x:v>L'Oréal Paris Elvital — Glycolic Gloss Shampoo</x:v>
      </x:c>
      <x:c r="C8" s="129" t="str">
        <x:v>Formula/route rules v0.1</x:v>
      </x:c>
      <x:c r="D8" s="129" t="n">
        <x:v>3</x:v>
      </x:c>
      <x:c r="E8" s="129" t="n">
        <x:v>3</x:v>
      </x:c>
      <x:c r="F8" s="129" t="n">
        <x:v>3</x:v>
      </x:c>
      <x:c r="G8" s="129" t="n">
        <x:v>3</x:v>
      </x:c>
      <x:c r="H8" s="129" t="n">
        <x:v>1</x:v>
      </x:c>
      <x:c r="I8" s="129" t="n">
        <x:v>1</x:v>
      </x:c>
      <x:c r="J8" s="129" t="n">
        <x:v>0</x:v>
      </x:c>
      <x:c r="K8" s="129" t="n">
        <x:v>1</x:v>
      </x:c>
      <x:c r="L8" s="129" t="n">
        <x:v>0</x:v>
      </x:c>
      <x:c r="M8" s="129" t="n">
        <x:v>0</x:v>
      </x:c>
      <x:c r="N8" s="129" t="n">
        <x:v>3</x:v>
      </x:c>
      <x:c r="O8" s="129" t="n">
        <x:v>0</x:v>
      </x:c>
      <x:c r="P8" s="129" t="n">
        <x:v>0</x:v>
      </x:c>
      <x:c r="Q8" s="129" t="n">
        <x:v>2</x:v>
      </x:c>
      <x:c r="R8" s="129" t="n">
        <x:v>1</x:v>
      </x:c>
      <x:c r="S8" s="129" t="n">
        <x:v>0</x:v>
      </x:c>
      <x:c r="T8" s="129" t="n">
        <x:v>2</x:v>
      </x:c>
      <x:c r="U8" s="129" t="str">
        <x:v>E2</x:v>
      </x:c>
      <x:c r="V8" s="129" t="str">
        <x:v>Dimethicone high in the list, cationic guar and amodimethicone support smoothing gloss.</x:v>
      </x:c>
      <x:c r="W8" s="129" t="str">
        <x:v>Late glycolic acid cannot establish final pH or dominant mechanism.</x:v>
      </x:c>
      <x:c r="X8" s="129" t="str">
        <x:v>Rule pass: strong deposited shine; hero-acid contribution remains uncertain.</x:v>
      </x:c>
      <x:c r="Y8" s="45" t="str">
        <x:v>https://www.dm.de/p/d/3138002/l-oreal-paris-elvital-shampoo-glycolic-gloss</x:v>
      </x:c>
    </x:row>
    <x:row r="9" ht="92" customHeight="1">
      <x:c r="A9" s="129" t="str">
        <x:v>P04</x:v>
      </x:c>
      <x:c r="B9" s="129" t="str">
        <x:v>Balea Professional — Shampoo Silberglanz</x:v>
      </x:c>
      <x:c r="C9" s="129" t="str">
        <x:v>Formula/route rules v0.1</x:v>
      </x:c>
      <x:c r="D9" s="129" t="n">
        <x:v>3</x:v>
      </x:c>
      <x:c r="E9" s="129" t="n">
        <x:v>2</x:v>
      </x:c>
      <x:c r="F9" s="129" t="n">
        <x:v>1</x:v>
      </x:c>
      <x:c r="G9" s="129" t="n">
        <x:v>2</x:v>
      </x:c>
      <x:c r="H9" s="129" t="n">
        <x:v>1</x:v>
      </x:c>
      <x:c r="I9" s="129" t="n">
        <x:v>1</x:v>
      </x:c>
      <x:c r="J9" s="129" t="n">
        <x:v>4</x:v>
      </x:c>
      <x:c r="K9" s="129" t="n">
        <x:v>3</x:v>
      </x:c>
      <x:c r="L9" s="129" t="n">
        <x:v>2</x:v>
      </x:c>
      <x:c r="M9" s="129" t="n">
        <x:v>0</x:v>
      </x:c>
      <x:c r="N9" s="129" t="n">
        <x:v>2</x:v>
      </x:c>
      <x:c r="O9" s="129" t="n">
        <x:v>2</x:v>
      </x:c>
      <x:c r="P9" s="129" t="n">
        <x:v>0</x:v>
      </x:c>
      <x:c r="Q9" s="129" t="n">
        <x:v>2</x:v>
      </x:c>
      <x:c r="R9" s="129" t="n">
        <x:v>1</x:v>
      </x:c>
      <x:c r="S9" s="129" t="n">
        <x:v>0</x:v>
      </x:c>
      <x:c r="T9" s="129" t="n">
        <x:v>2</x:v>
      </x:c>
      <x:c r="U9" s="129" t="str">
        <x:v>E2</x:v>
      </x:c>
      <x:c r="V9" s="129" t="str">
        <x:v>CI 60730 directly supports toning; keratin and cationic guar add care/film signals.</x:v>
      </x:c>
      <x:c r="W9" s="129" t="str">
        <x:v>The rule engine may over-credit ordinary acids and clean/light volume in a product not designed for volume.</x:v>
      </x:c>
      <x:c r="X9" s="129" t="str">
        <x:v>Rule pass: optical brightness first, moderate physical conditioning second.</x:v>
      </x:c>
      <x:c r="Y9" s="45" t="str">
        <x:v>https://www.dm.de/p/d/1536163/balea-professional-shampoo-silberglanz</x:v>
      </x:c>
    </x:row>
    <x:row r="10" ht="92" customHeight="1">
      <x:c r="A10" s="129" t="str">
        <x:v>P05</x:v>
      </x:c>
      <x:c r="B10" s="129" t="str">
        <x:v>Pantene Pro-V — Shampoo Repair &amp; Care</x:v>
      </x:c>
      <x:c r="C10" s="129" t="str">
        <x:v>Formula/route rules v0.1</x:v>
      </x:c>
      <x:c r="D10" s="129" t="n">
        <x:v>3</x:v>
      </x:c>
      <x:c r="E10" s="129" t="n">
        <x:v>3</x:v>
      </x:c>
      <x:c r="F10" s="129" t="n">
        <x:v>2</x:v>
      </x:c>
      <x:c r="G10" s="129" t="n">
        <x:v>3</x:v>
      </x:c>
      <x:c r="H10" s="129" t="n">
        <x:v>1</x:v>
      </x:c>
      <x:c r="I10" s="129" t="n">
        <x:v>1</x:v>
      </x:c>
      <x:c r="J10" s="129" t="n">
        <x:v>0</x:v>
      </x:c>
      <x:c r="K10" s="129" t="n">
        <x:v>2</x:v>
      </x:c>
      <x:c r="L10" s="129" t="n">
        <x:v>1</x:v>
      </x:c>
      <x:c r="M10" s="129" t="n">
        <x:v>0</x:v>
      </x:c>
      <x:c r="N10" s="129" t="n">
        <x:v>3</x:v>
      </x:c>
      <x:c r="O10" s="129" t="n">
        <x:v>1</x:v>
      </x:c>
      <x:c r="P10" s="129" t="n">
        <x:v>0</x:v>
      </x:c>
      <x:c r="Q10" s="129" t="n">
        <x:v>2</x:v>
      </x:c>
      <x:c r="R10" s="129" t="n">
        <x:v>1</x:v>
      </x:c>
      <x:c r="S10" s="129" t="n">
        <x:v>1</x:v>
      </x:c>
      <x:c r="T10" s="129" t="n">
        <x:v>2</x:v>
      </x:c>
      <x:c r="U10" s="129" t="str">
        <x:v>E2</x:v>
      </x:c>
      <x:c r="V10" s="129" t="str">
        <x:v>Fatty alcohols, cationic guar and Polyquaternium-6 create silicone-free conditioning.</x:v>
      </x:c>
      <x:c r="W10" s="129" t="str">
        <x:v>Generic conditioning is not bond-specific repair; film strength is uncertain.</x:v>
      </x:c>
      <x:c r="X10" s="129" t="str">
        <x:v>Rule pass: protective conditioning and reduced-friction repair.</x:v>
      </x:c>
      <x:c r="Y10" s="45" t="str">
        <x:v>https://www.dm.de/p/d/1554189/pantene-pro-v-shampoo-repair-und-care</x:v>
      </x:c>
    </x:row>
    <x:row r="11" ht="92" customHeight="1">
      <x:c r="A11" s="129" t="str">
        <x:v>P06</x:v>
      </x:c>
      <x:c r="B11" s="129" t="str">
        <x:v>OLAPLEX — N°4 Bond Maintenance Shampoo</x:v>
      </x:c>
      <x:c r="C11" s="129" t="str">
        <x:v>Formula/route rules v0.1</x:v>
      </x:c>
      <x:c r="D11" s="129" t="n">
        <x:v>3</x:v>
      </x:c>
      <x:c r="E11" s="129" t="n">
        <x:v>4</x:v>
      </x:c>
      <x:c r="F11" s="129" t="n">
        <x:v>4</x:v>
      </x:c>
      <x:c r="G11" s="129" t="n">
        <x:v>4</x:v>
      </x:c>
      <x:c r="H11" s="129" t="n">
        <x:v>1</x:v>
      </x:c>
      <x:c r="I11" s="129" t="n">
        <x:v>2</x:v>
      </x:c>
      <x:c r="J11" s="129" t="n">
        <x:v>0</x:v>
      </x:c>
      <x:c r="K11" s="129" t="n">
        <x:v>1</x:v>
      </x:c>
      <x:c r="L11" s="129" t="n">
        <x:v>3</x:v>
      </x:c>
      <x:c r="M11" s="129" t="n">
        <x:v>1</x:v>
      </x:c>
      <x:c r="N11" s="129" t="n">
        <x:v>4</x:v>
      </x:c>
      <x:c r="O11" s="129" t="n">
        <x:v>3</x:v>
      </x:c>
      <x:c r="P11" s="129" t="n">
        <x:v>2</x:v>
      </x:c>
      <x:c r="Q11" s="129" t="n">
        <x:v>3</x:v>
      </x:c>
      <x:c r="R11" s="129" t="n">
        <x:v>2</x:v>
      </x:c>
      <x:c r="S11" s="129" t="n">
        <x:v>3</x:v>
      </x:c>
      <x:c r="T11" s="129" t="n">
        <x:v>3</x:v>
      </x:c>
      <x:c r="U11" s="129" t="str">
        <x:v>E2</x:v>
      </x:c>
      <x:c r="V11" s="129" t="str">
        <x:v>Early bond-targeting ingredient plus amino silicone, several polyquaterniums, protein film and chelators.</x:v>
      </x:c>
      <x:c r="W11" s="129" t="str">
        <x:v>The rule engine may overestimate weight/body/chelation and caps bond-specific support without shampoo-alone efficacy evidence.</x:v>
      </x:c>
      <x:c r="X11" s="129" t="str">
        <x:v>Rule pass: very high multi-route conditioning and damage management.</x:v>
      </x:c>
      <x:c r="Y11" s="45" t="str">
        <x:v>https://olaplex.de/products/olaplex-no-4-shampoo</x:v>
      </x:c>
    </x:row>
    <x:row r="12" ht="92" customHeight="1">
      <x:c r="A12" s="129" t="str">
        <x:v>P07</x:v>
      </x:c>
      <x:c r="B12" s="129" t="str">
        <x:v>OLAPLEX — N°4C Bond Maintenance Clarifying Shampoo</x:v>
      </x:c>
      <x:c r="C12" s="129" t="str">
        <x:v>Formula/route rules v0.1</x:v>
      </x:c>
      <x:c r="D12" s="129" t="n">
        <x:v>4</x:v>
      </x:c>
      <x:c r="E12" s="129" t="n">
        <x:v>2</x:v>
      </x:c>
      <x:c r="F12" s="129" t="n">
        <x:v>1</x:v>
      </x:c>
      <x:c r="G12" s="129" t="n">
        <x:v>2</x:v>
      </x:c>
      <x:c r="H12" s="129" t="n">
        <x:v>1</x:v>
      </x:c>
      <x:c r="I12" s="129" t="n">
        <x:v>4</x:v>
      </x:c>
      <x:c r="J12" s="129" t="n">
        <x:v>0</x:v>
      </x:c>
      <x:c r="K12" s="129" t="n">
        <x:v>3</x:v>
      </x:c>
      <x:c r="L12" s="129" t="n">
        <x:v>2</x:v>
      </x:c>
      <x:c r="M12" s="129" t="n">
        <x:v>4</x:v>
      </x:c>
      <x:c r="N12" s="129" t="n">
        <x:v>2</x:v>
      </x:c>
      <x:c r="O12" s="129" t="n">
        <x:v>2</x:v>
      </x:c>
      <x:c r="P12" s="129" t="n">
        <x:v>2</x:v>
      </x:c>
      <x:c r="Q12" s="129" t="n">
        <x:v>3</x:v>
      </x:c>
      <x:c r="R12" s="129" t="n">
        <x:v>4</x:v>
      </x:c>
      <x:c r="S12" s="129" t="n">
        <x:v>4</x:v>
      </x:c>
      <x:c r="T12" s="129" t="n">
        <x:v>2</x:v>
      </x:c>
      <x:c r="U12" s="129" t="str">
        <x:v>E2</x:v>
      </x:c>
      <x:c r="V12" s="129" t="str">
        <x:v>Broad cleanser system, EDDS and pentasodium triphosphate, plus periodic clarifying use.</x:v>
      </x:c>
      <x:c r="W12" s="129" t="str">
        <x:v>Exact removal percentages and mildness under repeated use remain unknown.</x:v>
      </x:c>
      <x:c r="X12" s="129" t="str">
        <x:v>Rule pass: strong organic clarification and inorganic chelation.</x:v>
      </x:c>
      <x:c r="Y12" s="45" t="str">
        <x:v>https://olaplex.de/products/olaplex-n-4c-bond-maintenance-clarifying-shampoo</x:v>
      </x:c>
    </x:row>
    <x:row r="13" ht="92" customHeight="1">
      <x:c r="A13" s="129" t="str">
        <x:v>P08</x:v>
      </x:c>
      <x:c r="B13" s="129" t="str">
        <x:v>Balea med — Shampoo Ultra Sensitive</x:v>
      </x:c>
      <x:c r="C13" s="129" t="str">
        <x:v>Formula/route rules v0.1</x:v>
      </x:c>
      <x:c r="D13" s="129" t="n">
        <x:v>2</x:v>
      </x:c>
      <x:c r="E13" s="129" t="n">
        <x:v>2</x:v>
      </x:c>
      <x:c r="F13" s="129" t="n">
        <x:v>1</x:v>
      </x:c>
      <x:c r="G13" s="129" t="n">
        <x:v>2</x:v>
      </x:c>
      <x:c r="H13" s="129" t="n">
        <x:v>2</x:v>
      </x:c>
      <x:c r="I13" s="129" t="n">
        <x:v>0</x:v>
      </x:c>
      <x:c r="J13" s="129" t="n">
        <x:v>0</x:v>
      </x:c>
      <x:c r="K13" s="129" t="n">
        <x:v>2</x:v>
      </x:c>
      <x:c r="L13" s="129" t="n">
        <x:v>1</x:v>
      </x:c>
      <x:c r="M13" s="129" t="n">
        <x:v>0</x:v>
      </x:c>
      <x:c r="N13" s="129" t="n">
        <x:v>2</x:v>
      </x:c>
      <x:c r="O13" s="129" t="n">
        <x:v>1</x:v>
      </x:c>
      <x:c r="P13" s="129" t="n">
        <x:v>0</x:v>
      </x:c>
      <x:c r="Q13" s="129" t="n">
        <x:v>2</x:v>
      </x:c>
      <x:c r="R13" s="129" t="n">
        <x:v>1</x:v>
      </x:c>
      <x:c r="S13" s="129" t="n">
        <x:v>0</x:v>
      </x:c>
      <x:c r="T13" s="129" t="n">
        <x:v>3</x:v>
      </x:c>
      <x:c r="U13" s="129" t="str">
        <x:v>E2</x:v>
      </x:c>
      <x:c r="V13" s="129" t="str">
        <x:v>Fragrance-free mixed surfactants, glycerin, glyceryl oleate and cationic guar.</x:v>
      </x:c>
      <x:c r="W13" s="129" t="str">
        <x:v>Citric acid alone may be only pH adjustment; low S3 is uncertain.</x:v>
      </x:c>
      <x:c r="X13" s="129" t="str">
        <x:v>Rule pass: sensitive-positioned, moderately cleansing, lightly conditioning.</x:v>
      </x:c>
      <x:c r="Y13" s="45" t="str">
        <x:v>https://www.dm.de/p/d/1569035/balea-med-shampoo-ultra-sensitive</x:v>
      </x:c>
    </x:row>
    <x:row r="14" ht="92" customHeight="1">
      <x:c r="A14" s="129" t="str">
        <x:v>P09</x:v>
      </x:c>
      <x:c r="B14" s="129" t="str">
        <x:v>Cantu — Cream Cleanse Shampoo</x:v>
      </x:c>
      <x:c r="C14" s="129" t="str">
        <x:v>Formula/route rules v0.1</x:v>
      </x:c>
      <x:c r="D14" s="129" t="n">
        <x:v>4</x:v>
      </x:c>
      <x:c r="E14" s="129" t="n">
        <x:v>2</x:v>
      </x:c>
      <x:c r="F14" s="129" t="n">
        <x:v>2</x:v>
      </x:c>
      <x:c r="G14" s="129" t="n">
        <x:v>2</x:v>
      </x:c>
      <x:c r="H14" s="129" t="n">
        <x:v>1</x:v>
      </x:c>
      <x:c r="I14" s="129" t="n">
        <x:v>3</x:v>
      </x:c>
      <x:c r="J14" s="129" t="n">
        <x:v>0</x:v>
      </x:c>
      <x:c r="K14" s="129" t="n">
        <x:v>3</x:v>
      </x:c>
      <x:c r="L14" s="129" t="n">
        <x:v>3</x:v>
      </x:c>
      <x:c r="M14" s="129" t="n">
        <x:v>3</x:v>
      </x:c>
      <x:c r="N14" s="129" t="n">
        <x:v>2</x:v>
      </x:c>
      <x:c r="O14" s="129" t="n">
        <x:v>3</x:v>
      </x:c>
      <x:c r="P14" s="129" t="n">
        <x:v>0</x:v>
      </x:c>
      <x:c r="Q14" s="129" t="n">
        <x:v>2</x:v>
      </x:c>
      <x:c r="R14" s="129" t="n">
        <x:v>3</x:v>
      </x:c>
      <x:c r="S14" s="129" t="n">
        <x:v>1</x:v>
      </x:c>
      <x:c r="T14" s="129" t="n">
        <x:v>1</x:v>
      </x:c>
      <x:c r="U14" s="129" t="str">
        <x:v>E2</x:v>
      </x:c>
      <x:c r="V14" s="129" t="str">
        <x:v>Olefin sulfonate high in the list, second-wash direction, cationic polymers and several film formers.</x:v>
      </x:c>
      <x:c r="W14" s="129" t="str">
        <x:v>Sulfate-free does not mean low cleansing; proteins/polymers may over-trigger body/repair scores.</x:v>
      </x:c>
      <x:c r="X14" s="129" t="str">
        <x:v>Rule pass: strong organic cleansing with some conditioning.</x:v>
      </x:c>
      <x:c r="Y14" s="45" t="str">
        <x:v>https://www.dm.de/p/d/1675020/cantu-shampoo-cream-cleanse</x:v>
      </x:c>
    </x:row>
    <x:row r="15" ht="92" customHeight="1">
      <x:c r="A15" s="46" t="str">
        <x:v>P10</x:v>
      </x:c>
      <x:c r="B15" s="46" t="str">
        <x:v>Head &amp; Shoulders — Anti-Schuppen Shampoo Classic Clean</x:v>
      </x:c>
      <x:c r="C15" s="46" t="str">
        <x:v>Formula/route rules v0.1</x:v>
      </x:c>
      <x:c r="D15" s="46" t="n">
        <x:v>3</x:v>
      </x:c>
      <x:c r="E15" s="46" t="n">
        <x:v>3</x:v>
      </x:c>
      <x:c r="F15" s="46" t="n">
        <x:v>3</x:v>
      </x:c>
      <x:c r="G15" s="46" t="n">
        <x:v>3</x:v>
      </x:c>
      <x:c r="H15" s="46" t="n">
        <x:v>2</x:v>
      </x:c>
      <x:c r="I15" s="46" t="n">
        <x:v>2</x:v>
      </x:c>
      <x:c r="J15" s="46" t="n">
        <x:v>0</x:v>
      </x:c>
      <x:c r="K15" s="46" t="n">
        <x:v>1</x:v>
      </x:c>
      <x:c r="L15" s="46" t="n">
        <x:v>1</x:v>
      </x:c>
      <x:c r="M15" s="46" t="n">
        <x:v>1</x:v>
      </x:c>
      <x:c r="N15" s="46" t="n">
        <x:v>3</x:v>
      </x:c>
      <x:c r="O15" s="46" t="n">
        <x:v>1</x:v>
      </x:c>
      <x:c r="P15" s="46" t="n">
        <x:v>0</x:v>
      </x:c>
      <x:c r="Q15" s="46" t="n">
        <x:v>3</x:v>
      </x:c>
      <x:c r="R15" s="46" t="n">
        <x:v>2</x:v>
      </x:c>
      <x:c r="S15" s="46" t="n">
        <x:v>1</x:v>
      </x:c>
      <x:c r="T15" s="46" t="n">
        <x:v>2</x:v>
      </x:c>
      <x:c r="U15" s="46" t="str">
        <x:v>E2</x:v>
      </x:c>
      <x:c r="V15" s="46" t="str">
        <x:v>SLES system plus piroctone olamine, dimethiconol, dimethicone and cationic guar.</x:v>
      </x:c>
      <x:c r="W15" s="46" t="str">
        <x:v>Base shampoo architecture is classifiable, but anti-dandruff efficacy requires a separate active/scalp module.</x:v>
      </x:c>
      <x:c r="X15" s="46" t="str">
        <x:v>Rule pass: medium-high cleansing and conditioning; specialist efficacy boundary.</x:v>
      </x:c>
      <x:c r="Y15" s="47" t="str">
        <x:v>https://www.dm.de/p/d/1493055/head-und-shoulders-shampoo-anti-schuppen-classic-clean</x:v>
      </x:c>
    </x:row>
  </x:sheetData>
  <x:mergeCells>
    <x:mergeCell ref="A1:Y1"/>
    <x:mergeCell ref="A2:Y2"/>
    <x:mergeCell ref="D4:F4"/>
    <x:mergeCell ref="G4:J4"/>
    <x:mergeCell ref="K4:M4"/>
    <x:mergeCell ref="N4:Q4"/>
    <x:mergeCell ref="R4:T4"/>
  </x:mergeCells>
  <x:conditionalFormatting sqref="D6:T15">
    <x:cfRule type="colorScale" priority="1">
      <x:colorScale>
        <x:cfvo type="min"/>
        <x:cfvo type="percentile" val="50"/>
        <x:cfvo type="max"/>
        <x:color rgb="FFF7F7F7"/>
        <x:color rgb="FFF3E7BD"/>
        <x:color rgb="FF7AC8BC"/>
      </x:colorScale>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1" hidden="0" customWidth="1"/>
    <x:col min="2" max="2" width="35" hidden="0" customWidth="1"/>
    <x:col min="3" max="3" width="12" hidden="0" customWidth="1"/>
    <x:col min="4" max="4" width="12" hidden="0" customWidth="1"/>
    <x:col min="5" max="5" width="12" hidden="0" customWidth="1"/>
    <x:col min="6" max="6" width="12" hidden="0" customWidth="1"/>
    <x:col min="7" max="7" width="16"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8" hidden="0" customWidth="1"/>
    <x:col min="19" max="19" width="8" hidden="0" customWidth="1"/>
    <x:col min="20" max="20" width="8" hidden="0" customWidth="1"/>
    <x:col min="21" max="21" width="8" hidden="0" customWidth="1"/>
    <x:col min="22" max="22" width="8" hidden="0" customWidth="1"/>
    <x:col min="23" max="23" width="8" hidden="0" customWidth="1"/>
    <x:col min="24" max="24" width="8" hidden="0" customWidth="1"/>
    <x:col min="25" max="25" width="12" hidden="0" customWidth="1"/>
    <x:col min="26" max="26" width="55" hidden="0" customWidth="1"/>
  </x:cols>
  <x:sheetData>
    <x:row r="1" ht="34" customHeight="1">
      <x:c r="A1" s="105" t="str">
        <x:v>Agent pass versus proposed expert key</x:v>
      </x:c>
      <x:c r="B1" s="105"/>
      <x:c r="C1" s="105"/>
      <x:c r="D1" s="105"/>
      <x:c r="E1" s="105"/>
      <x:c r="F1" s="105"/>
      <x:c r="G1" s="105"/>
      <x:c r="H1" s="105"/>
      <x:c r="I1" s="105"/>
      <x:c r="J1" s="105"/>
      <x:c r="K1" s="105"/>
      <x:c r="L1" s="105"/>
      <x:c r="M1" s="105"/>
      <x:c r="N1" s="105"/>
      <x:c r="O1" s="105"/>
      <x:c r="P1" s="105"/>
      <x:c r="Q1" s="105"/>
      <x:c r="R1" s="105"/>
      <x:c r="S1" s="105"/>
      <x:c r="T1" s="105"/>
      <x:c r="U1" s="105"/>
      <x:c r="V1" s="105"/>
      <x:c r="W1" s="105"/>
      <x:c r="X1" s="105"/>
      <x:c r="Y1" s="105"/>
      <x:c r="Z1" s="105"/>
      <x:c r="AA1" s="105"/>
    </x:row>
    <x:row r="2" ht="30" customHeight="1">
      <x:c r="A2" s="109" t="str">
        <x:v>Low disagreement here measures internal rule consistency only. Because one model helped author both artifacts, it must not be interpreted as independent inter-rater reliability.</x:v>
      </x:c>
      <x:c r="B2" s="109"/>
      <x:c r="C2" s="109"/>
      <x:c r="D2" s="109"/>
      <x:c r="E2" s="109"/>
      <x:c r="F2" s="109"/>
      <x:c r="G2" s="109"/>
      <x:c r="H2" s="109"/>
      <x:c r="I2" s="109"/>
      <x:c r="J2" s="109"/>
      <x:c r="K2" s="109"/>
      <x:c r="L2" s="109"/>
      <x:c r="M2" s="109"/>
      <x:c r="N2" s="109"/>
      <x:c r="O2" s="109"/>
      <x:c r="P2" s="109"/>
      <x:c r="Q2" s="109"/>
      <x:c r="R2" s="109"/>
      <x:c r="S2" s="109"/>
      <x:c r="T2" s="109"/>
      <x:c r="U2" s="109"/>
      <x:c r="V2" s="109"/>
      <x:c r="W2" s="109"/>
      <x:c r="X2" s="109"/>
      <x:c r="Y2" s="109"/>
      <x:c r="Z2" s="109"/>
      <x:c r="AA2" s="109"/>
    </x:row>
    <x:row r="4">
      <x:c r="A4" s="124" t="str">
        <x:v>KPI</x:v>
      </x:c>
      <x:c r="B4" s="126" t="str">
        <x:v>Result</x:v>
      </x:c>
      <x:c r="D4" s="124" t="str">
        <x:v>What this test can show</x:v>
      </x:c>
      <x:c r="E4" s="125" t="str">
        <x:v>What it cannot show</x:v>
      </x:c>
      <x:c r="F4" s="126" t="str">
        <x:v>Next action</x:v>
      </x:c>
    </x:row>
    <x:row r="5">
      <x:c r="A5" s="129" t="str">
        <x:v>Overall mean absolute difference</x:v>
      </x:c>
      <x:c r="B5" s="82" t="n">
        <x:f>AVERAGE(C13:C22)</x:f>
        <x:v>0.15882352941176472</x:v>
      </x:c>
      <x:c r="D5" s="129" t="str">
        <x:v>Whether explicit ingredient rules reproduce the proposed expert key</x:v>
      </x:c>
      <x:c r="E5" s="129" t="str">
        <x:v>True independence or external validity</x:v>
      </x:c>
      <x:c r="F5" s="45" t="str">
        <x:v>Have a second human or separately prompted agent complete Reviewer_B blind</x:v>
      </x:c>
    </x:row>
    <x:row r="6">
      <x:c r="A6" s="129" t="str">
        <x:v>Exact score match rate</x:v>
      </x:c>
      <x:c r="B6" s="80" t="n">
        <x:f>COUNTIF(H13:X22,0)/170</x:f>
        <x:v>0.8411764705882353</x:v>
      </x:c>
      <x:c r="D6" s="129" t="str">
        <x:v>Which dimensions systematically over- or under-score</x:v>
      </x:c>
      <x:c r="E6" s="129" t="str">
        <x:v>Finished-product efficacy magnitude</x:v>
      </x:c>
      <x:c r="F6" s="45" t="str">
        <x:v>Tighten the rules for the drifting dimensions</x:v>
      </x:c>
    </x:row>
    <x:row r="7">
      <x:c r="A7" s="129" t="str">
        <x:v>Scores within one point</x:v>
      </x:c>
      <x:c r="B7" s="80" t="n">
        <x:f>(COUNTIF(H13:X22,0)+COUNTIF(H13:X22,1)+COUNTIF(H13:X22,-1))/170</x:f>
        <x:v>1</x:v>
      </x:c>
      <x:c r="D7" s="46" t="str">
        <x:v>Which products are good calibration anchors</x:v>
      </x:c>
      <x:c r="E7" s="46" t="str">
        <x:v>Clinical/scalp-active efficacy</x:v>
      </x:c>
      <x:c r="F7" s="47" t="str">
        <x:v>Keep specialist modules separate</x:v>
      </x:c>
    </x:row>
    <x:row r="8">
      <x:c r="A8" s="129" t="str">
        <x:v>Largest single difference</x:v>
      </x:c>
      <x:c r="B8" s="130" t="n">
        <x:f>MAX(Y13:Y22)</x:f>
        <x:v>1</x:v>
      </x:c>
    </x:row>
    <x:row r="9">
      <x:c r="A9" s="46" t="str">
        <x:v>Interpretation</x:v>
      </x:c>
      <x:c r="B9" s="47" t="str">
        <x:f>IF(B8&gt;1,"Material rule disagreement exists",IF(B5&lt;=0.25,"Strong internal consistency; inspect systematic drift",IF(B5&lt;=0.5,"Usable but requires rule refinement","Substantial recalibration required")))</x:f>
        <x:v>Strong internal consistency; inspect systematic drift</x:v>
      </x:c>
    </x:row>
    <x:row r="12">
      <x:c r="A12" s="124" t="str">
        <x:v>ID</x:v>
      </x:c>
      <x:c r="B12" s="125" t="str">
        <x:v>Product</x:v>
      </x:c>
      <x:c r="C12" s="125" t="str">
        <x:v>MAE</x:v>
      </x:c>
      <x:c r="D12" s="125" t="str">
        <x:v>Exact /17</x:v>
      </x:c>
      <x:c r="E12" s="125" t="str">
        <x:v>Within 1 /17</x:v>
      </x:c>
      <x:c r="F12" s="125" t="str">
        <x:v>Max diff</x:v>
      </x:c>
      <x:c r="G12" s="125" t="str">
        <x:v>Status</x:v>
      </x:c>
      <x:c r="H12" s="125" t="str">
        <x:v>CLN</x:v>
      </x:c>
      <x:c r="I12" s="125" t="str">
        <x:v>COND</x:v>
      </x:c>
      <x:c r="J12" s="125" t="str">
        <x:v>WT</x:v>
      </x:c>
      <x:c r="K12" s="125" t="str">
        <x:v>S1</x:v>
      </x:c>
      <x:c r="L12" s="125" t="str">
        <x:v>S2</x:v>
      </x:c>
      <x:c r="M12" s="125" t="str">
        <x:v>S3</x:v>
      </x:c>
      <x:c r="N12" s="125" t="str">
        <x:v>S4</x:v>
      </x:c>
      <x:c r="O12" s="125" t="str">
        <x:v>V1</x:v>
      </x:c>
      <x:c r="P12" s="125" t="str">
        <x:v>V2</x:v>
      </x:c>
      <x:c r="Q12" s="125" t="str">
        <x:v>V3</x:v>
      </x:c>
      <x:c r="R12" s="125" t="str">
        <x:v>R1</x:v>
      </x:c>
      <x:c r="S12" s="125" t="str">
        <x:v>R2</x:v>
      </x:c>
      <x:c r="T12" s="125" t="str">
        <x:v>R3</x:v>
      </x:c>
      <x:c r="U12" s="125" t="str">
        <x:v>R4</x:v>
      </x:c>
      <x:c r="V12" s="125" t="str">
        <x:v>OC</x:v>
      </x:c>
      <x:c r="W12" s="125" t="str">
        <x:v>IC</x:v>
      </x:c>
      <x:c r="X12" s="125" t="str">
        <x:v>MILD</x:v>
      </x:c>
      <x:c r="Y12" s="125" t="str">
        <x:v>Max abs diff</x:v>
      </x:c>
      <x:c r="Z12" s="126" t="str">
        <x:v>Calibration note</x:v>
      </x:c>
    </x:row>
    <x:row r="13" ht="50" customHeight="1">
      <x:c r="A13" s="129" t="str">
        <x:v>P01</x:v>
      </x:c>
      <x:c r="B13" s="129" t="str">
        <x:v>Balea — Shampoo Volumen</x:v>
      </x:c>
      <x:c r="C13" s="131" t="n">
        <x:f>(ABS(H13)+ABS(I13)+ABS(J13)+ABS(K13)+ABS(L13)+ABS(M13)+ABS(N13)+ABS(O13)+ABS(P13)+ABS(Q13)+ABS(R13)+ABS(S13)+ABS(T13)+ABS(U13)+ABS(V13)+ABS(W13)+ABS(X13))/17</x:f>
        <x:v>0.11764705882352941</x:v>
      </x:c>
      <x:c r="D13" s="129" t="n">
        <x:f>(IF(H13=0,1,0)+IF(I13=0,1,0)+IF(J13=0,1,0)+IF(K13=0,1,0)+IF(L13=0,1,0)+IF(M13=0,1,0)+IF(N13=0,1,0)+IF(O13=0,1,0)+IF(P13=0,1,0)+IF(Q13=0,1,0)+IF(R13=0,1,0)+IF(S13=0,1,0)+IF(T13=0,1,0)+IF(U13=0,1,0)+IF(V13=0,1,0)+IF(W13=0,1,0)+IF(X13=0,1,0))</x:f>
        <x:v>15</x:v>
      </x:c>
      <x:c r="E13" s="129" t="n">
        <x:f>(IF(ABS(H13)&lt;=1,1,0)+IF(ABS(I13)&lt;=1,1,0)+IF(ABS(J13)&lt;=1,1,0)+IF(ABS(K13)&lt;=1,1,0)+IF(ABS(L13)&lt;=1,1,0)+IF(ABS(M13)&lt;=1,1,0)+IF(ABS(N13)&lt;=1,1,0)+IF(ABS(O13)&lt;=1,1,0)+IF(ABS(P13)&lt;=1,1,0)+IF(ABS(Q13)&lt;=1,1,0)+IF(ABS(R13)&lt;=1,1,0)+IF(ABS(S13)&lt;=1,1,0)+IF(ABS(T13)&lt;=1,1,0)+IF(ABS(U13)&lt;=1,1,0)+IF(ABS(V13)&lt;=1,1,0)+IF(ABS(W13)&lt;=1,1,0)+IF(ABS(X13)&lt;=1,1,0))</x:f>
        <x:v>17</x:v>
      </x:c>
      <x:c r="F13" s="129" t="n">
        <x:f>MAX(ABS(H13),ABS(I13),ABS(J13),ABS(K13),ABS(L13),ABS(M13),ABS(N13),ABS(O13),ABS(P13),ABS(Q13),ABS(R13),ABS(S13),ABS(T13),ABS(U13),ABS(V13),ABS(W13),ABS(X13))</x:f>
        <x:v>1</x:v>
      </x:c>
      <x:c r="G13" s="129" t="str">
        <x:f>IF(F13&gt;1,"Discuss",IF(C13&lt;=0.25,"Aligned","Review"))</x:f>
        <x:v>Aligned</x:v>
      </x:c>
      <x:c r="H13" s="129" t="n">
        <x:f>Agent_Pass_v0.1!D6-Reference_Key!E6</x:f>
        <x:v>0</x:v>
      </x:c>
      <x:c r="I13" s="129" t="n">
        <x:f>Agent_Pass_v0.1!E6-Reference_Key!F6</x:f>
        <x:v>0</x:v>
      </x:c>
      <x:c r="J13" s="129" t="n">
        <x:f>Agent_Pass_v0.1!F6-Reference_Key!G6</x:f>
        <x:v>0</x:v>
      </x:c>
      <x:c r="K13" s="129" t="n">
        <x:f>Agent_Pass_v0.1!G6-Reference_Key!H6</x:f>
        <x:v>0</x:v>
      </x:c>
      <x:c r="L13" s="129" t="n">
        <x:f>Agent_Pass_v0.1!H6-Reference_Key!I6</x:f>
        <x:v>1</x:v>
      </x:c>
      <x:c r="M13" s="129" t="n">
        <x:f>Agent_Pass_v0.1!I6-Reference_Key!J6</x:f>
        <x:v>0</x:v>
      </x:c>
      <x:c r="N13" s="129" t="n">
        <x:f>Agent_Pass_v0.1!J6-Reference_Key!K6</x:f>
        <x:v>0</x:v>
      </x:c>
      <x:c r="O13" s="129" t="n">
        <x:f>Agent_Pass_v0.1!K6-Reference_Key!L6</x:f>
        <x:v>0</x:v>
      </x:c>
      <x:c r="P13" s="129" t="n">
        <x:f>Agent_Pass_v0.1!L6-Reference_Key!M6</x:f>
        <x:v>0</x:v>
      </x:c>
      <x:c r="Q13" s="129" t="n">
        <x:f>Agent_Pass_v0.1!M6-Reference_Key!N6</x:f>
        <x:v>0</x:v>
      </x:c>
      <x:c r="R13" s="129" t="n">
        <x:f>Agent_Pass_v0.1!N6-Reference_Key!O6</x:f>
        <x:v>0</x:v>
      </x:c>
      <x:c r="S13" s="129" t="n">
        <x:f>Agent_Pass_v0.1!O6-Reference_Key!P6</x:f>
        <x:v>0</x:v>
      </x:c>
      <x:c r="T13" s="129" t="n">
        <x:f>Agent_Pass_v0.1!P6-Reference_Key!Q6</x:f>
        <x:v>0</x:v>
      </x:c>
      <x:c r="U13" s="129" t="n">
        <x:f>Agent_Pass_v0.1!Q6-Reference_Key!R6</x:f>
        <x:v>1</x:v>
      </x:c>
      <x:c r="V13" s="129" t="n">
        <x:f>Agent_Pass_v0.1!R6-Reference_Key!S6</x:f>
        <x:v>0</x:v>
      </x:c>
      <x:c r="W13" s="129" t="n">
        <x:f>Agent_Pass_v0.1!S6-Reference_Key!T6</x:f>
        <x:v>0</x:v>
      </x:c>
      <x:c r="X13" s="129" t="n">
        <x:f>Agent_Pass_v0.1!T6-Reference_Key!U6</x:f>
        <x:v>0</x:v>
      </x:c>
      <x:c r="Y13" s="129" t="n">
        <x:f>F13</x:f>
        <x:v>1</x:v>
      </x:c>
      <x:c r="Z13" s="45" t="str">
        <x:v>Weak acid-route and generic prevention rules overfire.</x:v>
      </x:c>
    </x:row>
    <x:row r="14" ht="50" customHeight="1">
      <x:c r="A14" s="129" t="str">
        <x:v>P02</x:v>
      </x:c>
      <x:c r="B14" s="129" t="str">
        <x:v>John Frieda — Volume Lift Shampoo</x:v>
      </x:c>
      <x:c r="C14" s="131" t="n">
        <x:f>(ABS(H14)+ABS(I14)+ABS(J14)+ABS(K14)+ABS(L14)+ABS(M14)+ABS(N14)+ABS(O14)+ABS(P14)+ABS(Q14)+ABS(R14)+ABS(S14)+ABS(T14)+ABS(U14)+ABS(V14)+ABS(W14)+ABS(X14))/17</x:f>
        <x:v>0.23529411764705882</x:v>
      </x:c>
      <x:c r="D14" s="129" t="n">
        <x:f>(IF(H14=0,1,0)+IF(I14=0,1,0)+IF(J14=0,1,0)+IF(K14=0,1,0)+IF(L14=0,1,0)+IF(M14=0,1,0)+IF(N14=0,1,0)+IF(O14=0,1,0)+IF(P14=0,1,0)+IF(Q14=0,1,0)+IF(R14=0,1,0)+IF(S14=0,1,0)+IF(T14=0,1,0)+IF(U14=0,1,0)+IF(V14=0,1,0)+IF(W14=0,1,0)+IF(X14=0,1,0))</x:f>
        <x:v>13</x:v>
      </x:c>
      <x:c r="E14" s="129" t="n">
        <x:f>(IF(ABS(H14)&lt;=1,1,0)+IF(ABS(I14)&lt;=1,1,0)+IF(ABS(J14)&lt;=1,1,0)+IF(ABS(K14)&lt;=1,1,0)+IF(ABS(L14)&lt;=1,1,0)+IF(ABS(M14)&lt;=1,1,0)+IF(ABS(N14)&lt;=1,1,0)+IF(ABS(O14)&lt;=1,1,0)+IF(ABS(P14)&lt;=1,1,0)+IF(ABS(Q14)&lt;=1,1,0)+IF(ABS(R14)&lt;=1,1,0)+IF(ABS(S14)&lt;=1,1,0)+IF(ABS(T14)&lt;=1,1,0)+IF(ABS(U14)&lt;=1,1,0)+IF(ABS(V14)&lt;=1,1,0)+IF(ABS(W14)&lt;=1,1,0)+IF(ABS(X14)&lt;=1,1,0))</x:f>
        <x:v>17</x:v>
      </x:c>
      <x:c r="F14" s="129" t="n">
        <x:f>MAX(ABS(H14),ABS(I14),ABS(J14),ABS(K14),ABS(L14),ABS(M14),ABS(N14),ABS(O14),ABS(P14),ABS(Q14),ABS(R14),ABS(S14),ABS(T14),ABS(U14),ABS(V14),ABS(W14),ABS(X14))</x:f>
        <x:v>1</x:v>
      </x:c>
      <x:c r="G14" s="129" t="str">
        <x:f>IF(F14&gt;1,"Discuss",IF(C14&lt;=0.25,"Aligned","Review"))</x:f>
        <x:v>Aligned</x:v>
      </x:c>
      <x:c r="H14" s="129" t="n">
        <x:f>Agent_Pass_v0.1!D7-Reference_Key!E7</x:f>
        <x:v>0</x:v>
      </x:c>
      <x:c r="I14" s="129" t="n">
        <x:f>Agent_Pass_v0.1!E7-Reference_Key!F7</x:f>
        <x:v>0</x:v>
      </x:c>
      <x:c r="J14" s="129" t="n">
        <x:f>Agent_Pass_v0.1!F7-Reference_Key!G7</x:f>
        <x:v>0</x:v>
      </x:c>
      <x:c r="K14" s="129" t="n">
        <x:f>Agent_Pass_v0.1!G7-Reference_Key!H7</x:f>
        <x:v>0</x:v>
      </x:c>
      <x:c r="L14" s="129" t="n">
        <x:f>Agent_Pass_v0.1!H7-Reference_Key!I7</x:f>
        <x:v>1</x:v>
      </x:c>
      <x:c r="M14" s="129" t="n">
        <x:f>Agent_Pass_v0.1!I7-Reference_Key!J7</x:f>
        <x:v>0</x:v>
      </x:c>
      <x:c r="N14" s="129" t="n">
        <x:f>Agent_Pass_v0.1!J7-Reference_Key!K7</x:f>
        <x:v>0</x:v>
      </x:c>
      <x:c r="O14" s="129" t="n">
        <x:f>Agent_Pass_v0.1!K7-Reference_Key!L7</x:f>
        <x:v>0</x:v>
      </x:c>
      <x:c r="P14" s="129" t="n">
        <x:f>Agent_Pass_v0.1!L7-Reference_Key!M7</x:f>
        <x:v>0</x:v>
      </x:c>
      <x:c r="Q14" s="129" t="n">
        <x:f>Agent_Pass_v0.1!M7-Reference_Key!N7</x:f>
        <x:v>-1</x:v>
      </x:c>
      <x:c r="R14" s="129" t="n">
        <x:f>Agent_Pass_v0.1!N7-Reference_Key!O7</x:f>
        <x:v>0</x:v>
      </x:c>
      <x:c r="S14" s="129" t="n">
        <x:f>Agent_Pass_v0.1!O7-Reference_Key!P7</x:f>
        <x:v>1</x:v>
      </x:c>
      <x:c r="T14" s="129" t="n">
        <x:f>Agent_Pass_v0.1!P7-Reference_Key!Q7</x:f>
        <x:v>0</x:v>
      </x:c>
      <x:c r="U14" s="129" t="n">
        <x:f>Agent_Pass_v0.1!Q7-Reference_Key!R7</x:f>
        <x:v>1</x:v>
      </x:c>
      <x:c r="V14" s="129" t="n">
        <x:f>Agent_Pass_v0.1!R7-Reference_Key!S7</x:f>
        <x:v>0</x:v>
      </x:c>
      <x:c r="W14" s="129" t="n">
        <x:f>Agent_Pass_v0.1!S7-Reference_Key!T7</x:f>
        <x:v>0</x:v>
      </x:c>
      <x:c r="X14" s="129" t="n">
        <x:f>Agent_Pass_v0.1!T7-Reference_Key!U7</x:f>
        <x:v>0</x:v>
      </x:c>
      <x:c r="Y14" s="129" t="n">
        <x:f>F14</x:f>
        <x:v>1</x:v>
      </x:c>
      <x:c r="Z14" s="45" t="str">
        <x:v>Protein/bodying architecture is easy to overstate; V3 needs explicit reset logic.</x:v>
      </x:c>
    </x:row>
    <x:row r="15" ht="50" customHeight="1">
      <x:c r="A15" s="129" t="str">
        <x:v>P03</x:v>
      </x:c>
      <x:c r="B15" s="129" t="str">
        <x:v>L'Oréal Paris Elvital — Glycolic Gloss Shampoo</x:v>
      </x:c>
      <x:c r="C15" s="131" t="n">
        <x:f>(ABS(H15)+ABS(I15)+ABS(J15)+ABS(K15)+ABS(L15)+ABS(M15)+ABS(N15)+ABS(O15)+ABS(P15)+ABS(Q15)+ABS(R15)+ABS(S15)+ABS(T15)+ABS(U15)+ABS(V15)+ABS(W15)+ABS(X15))/17</x:f>
        <x:v>0.11764705882352941</x:v>
      </x:c>
      <x:c r="D15" s="129" t="n">
        <x:f>(IF(H15=0,1,0)+IF(I15=0,1,0)+IF(J15=0,1,0)+IF(K15=0,1,0)+IF(L15=0,1,0)+IF(M15=0,1,0)+IF(N15=0,1,0)+IF(O15=0,1,0)+IF(P15=0,1,0)+IF(Q15=0,1,0)+IF(R15=0,1,0)+IF(S15=0,1,0)+IF(T15=0,1,0)+IF(U15=0,1,0)+IF(V15=0,1,0)+IF(W15=0,1,0)+IF(X15=0,1,0))</x:f>
        <x:v>15</x:v>
      </x:c>
      <x:c r="E15" s="129" t="n">
        <x:f>(IF(ABS(H15)&lt;=1,1,0)+IF(ABS(I15)&lt;=1,1,0)+IF(ABS(J15)&lt;=1,1,0)+IF(ABS(K15)&lt;=1,1,0)+IF(ABS(L15)&lt;=1,1,0)+IF(ABS(M15)&lt;=1,1,0)+IF(ABS(N15)&lt;=1,1,0)+IF(ABS(O15)&lt;=1,1,0)+IF(ABS(P15)&lt;=1,1,0)+IF(ABS(Q15)&lt;=1,1,0)+IF(ABS(R15)&lt;=1,1,0)+IF(ABS(S15)&lt;=1,1,0)+IF(ABS(T15)&lt;=1,1,0)+IF(ABS(U15)&lt;=1,1,0)+IF(ABS(V15)&lt;=1,1,0)+IF(ABS(W15)&lt;=1,1,0)+IF(ABS(X15)&lt;=1,1,0))</x:f>
        <x:v>17</x:v>
      </x:c>
      <x:c r="F15" s="129" t="n">
        <x:f>MAX(ABS(H15),ABS(I15),ABS(J15),ABS(K15),ABS(L15),ABS(M15),ABS(N15),ABS(O15),ABS(P15),ABS(Q15),ABS(R15),ABS(S15),ABS(T15),ABS(U15),ABS(V15),ABS(W15),ABS(X15))</x:f>
        <x:v>1</x:v>
      </x:c>
      <x:c r="G15" s="129" t="str">
        <x:f>IF(F15&gt;1,"Discuss",IF(C15&lt;=0.25,"Aligned","Review"))</x:f>
        <x:v>Aligned</x:v>
      </x:c>
      <x:c r="H15" s="129" t="n">
        <x:f>Agent_Pass_v0.1!D8-Reference_Key!E8</x:f>
        <x:v>0</x:v>
      </x:c>
      <x:c r="I15" s="129" t="n">
        <x:f>Agent_Pass_v0.1!E8-Reference_Key!F8</x:f>
        <x:v>0</x:v>
      </x:c>
      <x:c r="J15" s="129" t="n">
        <x:f>Agent_Pass_v0.1!F8-Reference_Key!G8</x:f>
        <x:v>0</x:v>
      </x:c>
      <x:c r="K15" s="129" t="n">
        <x:f>Agent_Pass_v0.1!G8-Reference_Key!H8</x:f>
        <x:v>0</x:v>
      </x:c>
      <x:c r="L15" s="129" t="n">
        <x:f>Agent_Pass_v0.1!H8-Reference_Key!I8</x:f>
        <x:v>0</x:v>
      </x:c>
      <x:c r="M15" s="129" t="n">
        <x:f>Agent_Pass_v0.1!I8-Reference_Key!J8</x:f>
        <x:v>0</x:v>
      </x:c>
      <x:c r="N15" s="129" t="n">
        <x:f>Agent_Pass_v0.1!J8-Reference_Key!K8</x:f>
        <x:v>0</x:v>
      </x:c>
      <x:c r="O15" s="129" t="n">
        <x:f>Agent_Pass_v0.1!K8-Reference_Key!L8</x:f>
        <x:v>0</x:v>
      </x:c>
      <x:c r="P15" s="129" t="n">
        <x:f>Agent_Pass_v0.1!L8-Reference_Key!M8</x:f>
        <x:v>0</x:v>
      </x:c>
      <x:c r="Q15" s="129" t="n">
        <x:f>Agent_Pass_v0.1!M8-Reference_Key!N8</x:f>
        <x:v>0</x:v>
      </x:c>
      <x:c r="R15" s="129" t="n">
        <x:f>Agent_Pass_v0.1!N8-Reference_Key!O8</x:f>
        <x:v>0</x:v>
      </x:c>
      <x:c r="S15" s="129" t="n">
        <x:f>Agent_Pass_v0.1!O8-Reference_Key!P8</x:f>
        <x:v>-1</x:v>
      </x:c>
      <x:c r="T15" s="129" t="n">
        <x:f>Agent_Pass_v0.1!P8-Reference_Key!Q8</x:f>
        <x:v>0</x:v>
      </x:c>
      <x:c r="U15" s="129" t="n">
        <x:f>Agent_Pass_v0.1!Q8-Reference_Key!R8</x:f>
        <x:v>1</x:v>
      </x:c>
      <x:c r="V15" s="129" t="n">
        <x:f>Agent_Pass_v0.1!R8-Reference_Key!S8</x:f>
        <x:v>0</x:v>
      </x:c>
      <x:c r="W15" s="129" t="n">
        <x:f>Agent_Pass_v0.1!S8-Reference_Key!T8</x:f>
        <x:v>0</x:v>
      </x:c>
      <x:c r="X15" s="129" t="n">
        <x:f>Agent_Pass_v0.1!T8-Reference_Key!U8</x:f>
        <x:v>0</x:v>
      </x:c>
      <x:c r="Y15" s="129" t="n">
        <x:f>F15</x:f>
        <x:v>1</x:v>
      </x:c>
      <x:c r="Z15" s="45" t="str">
        <x:v>Strong S1 anchor; distinguish generic film protection from actual R2 repair.</x:v>
      </x:c>
    </x:row>
    <x:row r="16" ht="50" customHeight="1">
      <x:c r="A16" s="129" t="str">
        <x:v>P04</x:v>
      </x:c>
      <x:c r="B16" s="129" t="str">
        <x:v>Balea Professional — Shampoo Silberglanz</x:v>
      </x:c>
      <x:c r="C16" s="131" t="n">
        <x:f>(ABS(H16)+ABS(I16)+ABS(J16)+ABS(K16)+ABS(L16)+ABS(M16)+ABS(N16)+ABS(O16)+ABS(P16)+ABS(Q16)+ABS(R16)+ABS(S16)+ABS(T16)+ABS(U16)+ABS(V16)+ABS(W16)+ABS(X16))/17</x:f>
        <x:v>0.17647058823529413</x:v>
      </x:c>
      <x:c r="D16" s="129" t="n">
        <x:f>(IF(H16=0,1,0)+IF(I16=0,1,0)+IF(J16=0,1,0)+IF(K16=0,1,0)+IF(L16=0,1,0)+IF(M16=0,1,0)+IF(N16=0,1,0)+IF(O16=0,1,0)+IF(P16=0,1,0)+IF(Q16=0,1,0)+IF(R16=0,1,0)+IF(S16=0,1,0)+IF(T16=0,1,0)+IF(U16=0,1,0)+IF(V16=0,1,0)+IF(W16=0,1,0)+IF(X16=0,1,0))</x:f>
        <x:v>14</x:v>
      </x:c>
      <x:c r="E16" s="129" t="n">
        <x:f>(IF(ABS(H16)&lt;=1,1,0)+IF(ABS(I16)&lt;=1,1,0)+IF(ABS(J16)&lt;=1,1,0)+IF(ABS(K16)&lt;=1,1,0)+IF(ABS(L16)&lt;=1,1,0)+IF(ABS(M16)&lt;=1,1,0)+IF(ABS(N16)&lt;=1,1,0)+IF(ABS(O16)&lt;=1,1,0)+IF(ABS(P16)&lt;=1,1,0)+IF(ABS(Q16)&lt;=1,1,0)+IF(ABS(R16)&lt;=1,1,0)+IF(ABS(S16)&lt;=1,1,0)+IF(ABS(T16)&lt;=1,1,0)+IF(ABS(U16)&lt;=1,1,0)+IF(ABS(V16)&lt;=1,1,0)+IF(ABS(W16)&lt;=1,1,0)+IF(ABS(X16)&lt;=1,1,0))</x:f>
        <x:v>17</x:v>
      </x:c>
      <x:c r="F16" s="129" t="n">
        <x:f>MAX(ABS(H16),ABS(I16),ABS(J16),ABS(K16),ABS(L16),ABS(M16),ABS(N16),ABS(O16),ABS(P16),ABS(Q16),ABS(R16),ABS(S16),ABS(T16),ABS(U16),ABS(V16),ABS(W16),ABS(X16))</x:f>
        <x:v>1</x:v>
      </x:c>
      <x:c r="G16" s="129" t="str">
        <x:f>IF(F16&gt;1,"Discuss",IF(C16&lt;=0.25,"Aligned","Review"))</x:f>
        <x:v>Aligned</x:v>
      </x:c>
      <x:c r="H16" s="129" t="n">
        <x:f>Agent_Pass_v0.1!D9-Reference_Key!E9</x:f>
        <x:v>0</x:v>
      </x:c>
      <x:c r="I16" s="129" t="n">
        <x:f>Agent_Pass_v0.1!E9-Reference_Key!F9</x:f>
        <x:v>0</x:v>
      </x:c>
      <x:c r="J16" s="129" t="n">
        <x:f>Agent_Pass_v0.1!F9-Reference_Key!G9</x:f>
        <x:v>0</x:v>
      </x:c>
      <x:c r="K16" s="129" t="n">
        <x:f>Agent_Pass_v0.1!G9-Reference_Key!H9</x:f>
        <x:v>0</x:v>
      </x:c>
      <x:c r="L16" s="129" t="n">
        <x:f>Agent_Pass_v0.1!H9-Reference_Key!I9</x:f>
        <x:v>1</x:v>
      </x:c>
      <x:c r="M16" s="129" t="n">
        <x:f>Agent_Pass_v0.1!I9-Reference_Key!J9</x:f>
        <x:v>0</x:v>
      </x:c>
      <x:c r="N16" s="129" t="n">
        <x:f>Agent_Pass_v0.1!J9-Reference_Key!K9</x:f>
        <x:v>0</x:v>
      </x:c>
      <x:c r="O16" s="129" t="n">
        <x:f>Agent_Pass_v0.1!K9-Reference_Key!L9</x:f>
        <x:v>1</x:v>
      </x:c>
      <x:c r="P16" s="129" t="n">
        <x:f>Agent_Pass_v0.1!L9-Reference_Key!M9</x:f>
        <x:v>0</x:v>
      </x:c>
      <x:c r="Q16" s="129" t="n">
        <x:f>Agent_Pass_v0.1!M9-Reference_Key!N9</x:f>
        <x:v>0</x:v>
      </x:c>
      <x:c r="R16" s="129" t="n">
        <x:f>Agent_Pass_v0.1!N9-Reference_Key!O9</x:f>
        <x:v>0</x:v>
      </x:c>
      <x:c r="S16" s="129" t="n">
        <x:f>Agent_Pass_v0.1!O9-Reference_Key!P9</x:f>
        <x:v>0</x:v>
      </x:c>
      <x:c r="T16" s="129" t="n">
        <x:f>Agent_Pass_v0.1!P9-Reference_Key!Q9</x:f>
        <x:v>0</x:v>
      </x:c>
      <x:c r="U16" s="129" t="n">
        <x:f>Agent_Pass_v0.1!Q9-Reference_Key!R9</x:f>
        <x:v>1</x:v>
      </x:c>
      <x:c r="V16" s="129" t="n">
        <x:f>Agent_Pass_v0.1!R9-Reference_Key!S9</x:f>
        <x:v>0</x:v>
      </x:c>
      <x:c r="W16" s="129" t="n">
        <x:f>Agent_Pass_v0.1!S9-Reference_Key!T9</x:f>
        <x:v>0</x:v>
      </x:c>
      <x:c r="X16" s="129" t="n">
        <x:f>Agent_Pass_v0.1!T9-Reference_Key!U9</x:f>
        <x:v>0</x:v>
      </x:c>
      <x:c r="Y16" s="129" t="n">
        <x:f>F16</x:f>
        <x:v>1</x:v>
      </x:c>
      <x:c r="Z16" s="45" t="str">
        <x:v>Excellent S4 anchor; formula-derived V1 should not become a marketing recommendation.</x:v>
      </x:c>
    </x:row>
    <x:row r="17" ht="50" customHeight="1">
      <x:c r="A17" s="129" t="str">
        <x:v>P05</x:v>
      </x:c>
      <x:c r="B17" s="129" t="str">
        <x:v>Pantene Pro-V — Shampoo Repair &amp; Care</x:v>
      </x:c>
      <x:c r="C17" s="131" t="n">
        <x:f>(ABS(H17)+ABS(I17)+ABS(J17)+ABS(K17)+ABS(L17)+ABS(M17)+ABS(N17)+ABS(O17)+ABS(P17)+ABS(Q17)+ABS(R17)+ABS(S17)+ABS(T17)+ABS(U17)+ABS(V17)+ABS(W17)+ABS(X17))/17</x:f>
        <x:v>0.11764705882352941</x:v>
      </x:c>
      <x:c r="D17" s="129" t="n">
        <x:f>(IF(H17=0,1,0)+IF(I17=0,1,0)+IF(J17=0,1,0)+IF(K17=0,1,0)+IF(L17=0,1,0)+IF(M17=0,1,0)+IF(N17=0,1,0)+IF(O17=0,1,0)+IF(P17=0,1,0)+IF(Q17=0,1,0)+IF(R17=0,1,0)+IF(S17=0,1,0)+IF(T17=0,1,0)+IF(U17=0,1,0)+IF(V17=0,1,0)+IF(W17=0,1,0)+IF(X17=0,1,0))</x:f>
        <x:v>15</x:v>
      </x:c>
      <x:c r="E17" s="129" t="n">
        <x:f>(IF(ABS(H17)&lt;=1,1,0)+IF(ABS(I17)&lt;=1,1,0)+IF(ABS(J17)&lt;=1,1,0)+IF(ABS(K17)&lt;=1,1,0)+IF(ABS(L17)&lt;=1,1,0)+IF(ABS(M17)&lt;=1,1,0)+IF(ABS(N17)&lt;=1,1,0)+IF(ABS(O17)&lt;=1,1,0)+IF(ABS(P17)&lt;=1,1,0)+IF(ABS(Q17)&lt;=1,1,0)+IF(ABS(R17)&lt;=1,1,0)+IF(ABS(S17)&lt;=1,1,0)+IF(ABS(T17)&lt;=1,1,0)+IF(ABS(U17)&lt;=1,1,0)+IF(ABS(V17)&lt;=1,1,0)+IF(ABS(W17)&lt;=1,1,0)+IF(ABS(X17)&lt;=1,1,0))</x:f>
        <x:v>17</x:v>
      </x:c>
      <x:c r="F17" s="129" t="n">
        <x:f>MAX(ABS(H17),ABS(I17),ABS(J17),ABS(K17),ABS(L17),ABS(M17),ABS(N17),ABS(O17),ABS(P17),ABS(Q17),ABS(R17),ABS(S17),ABS(T17),ABS(U17),ABS(V17),ABS(W17),ABS(X17))</x:f>
        <x:v>1</x:v>
      </x:c>
      <x:c r="G17" s="129" t="str">
        <x:f>IF(F17&gt;1,"Discuss",IF(C17&lt;=0.25,"Aligned","Review"))</x:f>
        <x:v>Aligned</x:v>
      </x:c>
      <x:c r="H17" s="129" t="n">
        <x:f>Agent_Pass_v0.1!D10-Reference_Key!E10</x:f>
        <x:v>0</x:v>
      </x:c>
      <x:c r="I17" s="129" t="n">
        <x:f>Agent_Pass_v0.1!E10-Reference_Key!F10</x:f>
        <x:v>0</x:v>
      </x:c>
      <x:c r="J17" s="129" t="n">
        <x:f>Agent_Pass_v0.1!F10-Reference_Key!G10</x:f>
        <x:v>0</x:v>
      </x:c>
      <x:c r="K17" s="129" t="n">
        <x:f>Agent_Pass_v0.1!G10-Reference_Key!H10</x:f>
        <x:v>0</x:v>
      </x:c>
      <x:c r="L17" s="129" t="n">
        <x:f>Agent_Pass_v0.1!H10-Reference_Key!I10</x:f>
        <x:v>0</x:v>
      </x:c>
      <x:c r="M17" s="129" t="n">
        <x:f>Agent_Pass_v0.1!I10-Reference_Key!J10</x:f>
        <x:v>0</x:v>
      </x:c>
      <x:c r="N17" s="129" t="n">
        <x:f>Agent_Pass_v0.1!J10-Reference_Key!K10</x:f>
        <x:v>0</x:v>
      </x:c>
      <x:c r="O17" s="129" t="n">
        <x:f>Agent_Pass_v0.1!K10-Reference_Key!L10</x:f>
        <x:v>1</x:v>
      </x:c>
      <x:c r="P17" s="129" t="n">
        <x:f>Agent_Pass_v0.1!L10-Reference_Key!M10</x:f>
        <x:v>0</x:v>
      </x:c>
      <x:c r="Q17" s="129" t="n">
        <x:f>Agent_Pass_v0.1!M10-Reference_Key!N10</x:f>
        <x:v>0</x:v>
      </x:c>
      <x:c r="R17" s="129" t="n">
        <x:f>Agent_Pass_v0.1!N10-Reference_Key!O10</x:f>
        <x:v>0</x:v>
      </x:c>
      <x:c r="S17" s="129" t="n">
        <x:f>Agent_Pass_v0.1!O10-Reference_Key!P10</x:f>
        <x:v>-1</x:v>
      </x:c>
      <x:c r="T17" s="129" t="n">
        <x:f>Agent_Pass_v0.1!P10-Reference_Key!Q10</x:f>
        <x:v>0</x:v>
      </x:c>
      <x:c r="U17" s="129" t="n">
        <x:f>Agent_Pass_v0.1!Q10-Reference_Key!R10</x:f>
        <x:v>0</x:v>
      </x:c>
      <x:c r="V17" s="129" t="n">
        <x:f>Agent_Pass_v0.1!R10-Reference_Key!S10</x:f>
        <x:v>0</x:v>
      </x:c>
      <x:c r="W17" s="129" t="n">
        <x:f>Agent_Pass_v0.1!S10-Reference_Key!T10</x:f>
        <x:v>0</x:v>
      </x:c>
      <x:c r="X17" s="129" t="n">
        <x:f>Agent_Pass_v0.1!T10-Reference_Key!U10</x:f>
        <x:v>0</x:v>
      </x:c>
      <x:c r="Y17" s="129" t="n">
        <x:f>F17</x:f>
        <x:v>1</x:v>
      </x:c>
      <x:c r="Z17" s="45" t="str">
        <x:v>Good silicone-free conditioning anchor; do not undercount non-silicone deposition.</x:v>
      </x:c>
    </x:row>
    <x:row r="18" ht="50" customHeight="1">
      <x:c r="A18" s="129" t="str">
        <x:v>P06</x:v>
      </x:c>
      <x:c r="B18" s="129" t="str">
        <x:v>OLAPLEX — N°4 Bond Maintenance Shampoo</x:v>
      </x:c>
      <x:c r="C18" s="131" t="n">
        <x:f>(ABS(H18)+ABS(I18)+ABS(J18)+ABS(K18)+ABS(L18)+ABS(M18)+ABS(N18)+ABS(O18)+ABS(P18)+ABS(Q18)+ABS(R18)+ABS(S18)+ABS(T18)+ABS(U18)+ABS(V18)+ABS(W18)+ABS(X18))/17</x:f>
        <x:v>0.23529411764705882</x:v>
      </x:c>
      <x:c r="D18" s="129" t="n">
        <x:f>(IF(H18=0,1,0)+IF(I18=0,1,0)+IF(J18=0,1,0)+IF(K18=0,1,0)+IF(L18=0,1,0)+IF(M18=0,1,0)+IF(N18=0,1,0)+IF(O18=0,1,0)+IF(P18=0,1,0)+IF(Q18=0,1,0)+IF(R18=0,1,0)+IF(S18=0,1,0)+IF(T18=0,1,0)+IF(U18=0,1,0)+IF(V18=0,1,0)+IF(W18=0,1,0)+IF(X18=0,1,0))</x:f>
        <x:v>13</x:v>
      </x:c>
      <x:c r="E18" s="129" t="n">
        <x:f>(IF(ABS(H18)&lt;=1,1,0)+IF(ABS(I18)&lt;=1,1,0)+IF(ABS(J18)&lt;=1,1,0)+IF(ABS(K18)&lt;=1,1,0)+IF(ABS(L18)&lt;=1,1,0)+IF(ABS(M18)&lt;=1,1,0)+IF(ABS(N18)&lt;=1,1,0)+IF(ABS(O18)&lt;=1,1,0)+IF(ABS(P18)&lt;=1,1,0)+IF(ABS(Q18)&lt;=1,1,0)+IF(ABS(R18)&lt;=1,1,0)+IF(ABS(S18)&lt;=1,1,0)+IF(ABS(T18)&lt;=1,1,0)+IF(ABS(U18)&lt;=1,1,0)+IF(ABS(V18)&lt;=1,1,0)+IF(ABS(W18)&lt;=1,1,0)+IF(ABS(X18)&lt;=1,1,0))</x:f>
        <x:v>17</x:v>
      </x:c>
      <x:c r="F18" s="129" t="n">
        <x:f>MAX(ABS(H18),ABS(I18),ABS(J18),ABS(K18),ABS(L18),ABS(M18),ABS(N18),ABS(O18),ABS(P18),ABS(Q18),ABS(R18),ABS(S18),ABS(T18),ABS(U18),ABS(V18),ABS(W18),ABS(X18))</x:f>
        <x:v>1</x:v>
      </x:c>
      <x:c r="G18" s="129" t="str">
        <x:f>IF(F18&gt;1,"Discuss",IF(C18&lt;=0.25,"Aligned","Review"))</x:f>
        <x:v>Aligned</x:v>
      </x:c>
      <x:c r="H18" s="129" t="n">
        <x:f>Agent_Pass_v0.1!D11-Reference_Key!E11</x:f>
        <x:v>0</x:v>
      </x:c>
      <x:c r="I18" s="129" t="n">
        <x:f>Agent_Pass_v0.1!E11-Reference_Key!F11</x:f>
        <x:v>0</x:v>
      </x:c>
      <x:c r="J18" s="129" t="n">
        <x:f>Agent_Pass_v0.1!F11-Reference_Key!G11</x:f>
        <x:v>1</x:v>
      </x:c>
      <x:c r="K18" s="129" t="n">
        <x:f>Agent_Pass_v0.1!G11-Reference_Key!H11</x:f>
        <x:v>0</x:v>
      </x:c>
      <x:c r="L18" s="129" t="n">
        <x:f>Agent_Pass_v0.1!H11-Reference_Key!I11</x:f>
        <x:v>0</x:v>
      </x:c>
      <x:c r="M18" s="129" t="n">
        <x:f>Agent_Pass_v0.1!I11-Reference_Key!J11</x:f>
        <x:v>0</x:v>
      </x:c>
      <x:c r="N18" s="129" t="n">
        <x:f>Agent_Pass_v0.1!J11-Reference_Key!K11</x:f>
        <x:v>0</x:v>
      </x:c>
      <x:c r="O18" s="129" t="n">
        <x:f>Agent_Pass_v0.1!K11-Reference_Key!L11</x:f>
        <x:v>0</x:v>
      </x:c>
      <x:c r="P18" s="129" t="n">
        <x:f>Agent_Pass_v0.1!L11-Reference_Key!M11</x:f>
        <x:v>1</x:v>
      </x:c>
      <x:c r="Q18" s="129" t="n">
        <x:f>Agent_Pass_v0.1!M11-Reference_Key!N11</x:f>
        <x:v>0</x:v>
      </x:c>
      <x:c r="R18" s="129" t="n">
        <x:f>Agent_Pass_v0.1!N11-Reference_Key!O11</x:f>
        <x:v>0</x:v>
      </x:c>
      <x:c r="S18" s="129" t="n">
        <x:f>Agent_Pass_v0.1!O11-Reference_Key!P11</x:f>
        <x:v>0</x:v>
      </x:c>
      <x:c r="T18" s="129" t="n">
        <x:f>Agent_Pass_v0.1!P11-Reference_Key!Q11</x:f>
        <x:v>-1</x:v>
      </x:c>
      <x:c r="U18" s="129" t="n">
        <x:f>Agent_Pass_v0.1!Q11-Reference_Key!R11</x:f>
        <x:v>0</x:v>
      </x:c>
      <x:c r="V18" s="129" t="n">
        <x:f>Agent_Pass_v0.1!R11-Reference_Key!S11</x:f>
        <x:v>0</x:v>
      </x:c>
      <x:c r="W18" s="129" t="n">
        <x:f>Agent_Pass_v0.1!S11-Reference_Key!T11</x:f>
        <x:v>1</x:v>
      </x:c>
      <x:c r="X18" s="129" t="n">
        <x:f>Agent_Pass_v0.1!T11-Reference_Key!U11</x:f>
        <x:v>0</x:v>
      </x:c>
      <x:c r="Y18" s="129" t="n">
        <x:f>F18</x:f>
        <x:v>1</x:v>
      </x:c>
      <x:c r="Z18" s="45" t="str">
        <x:v>Weight, bodying, chelation and bond-specific support need separate caps and evidence rules.</x:v>
      </x:c>
    </x:row>
    <x:row r="19" ht="50" customHeight="1">
      <x:c r="A19" s="129" t="str">
        <x:v>P07</x:v>
      </x:c>
      <x:c r="B19" s="129" t="str">
        <x:v>OLAPLEX — N°4C Bond Maintenance Clarifying Shampoo</x:v>
      </x:c>
      <x:c r="C19" s="131" t="n">
        <x:f>(ABS(H19)+ABS(I19)+ABS(J19)+ABS(K19)+ABS(L19)+ABS(M19)+ABS(N19)+ABS(O19)+ABS(P19)+ABS(Q19)+ABS(R19)+ABS(S19)+ABS(T19)+ABS(U19)+ABS(V19)+ABS(W19)+ABS(X19))/17</x:f>
        <x:v>0</x:v>
      </x:c>
      <x:c r="D19" s="129" t="n">
        <x:f>(IF(H19=0,1,0)+IF(I19=0,1,0)+IF(J19=0,1,0)+IF(K19=0,1,0)+IF(L19=0,1,0)+IF(M19=0,1,0)+IF(N19=0,1,0)+IF(O19=0,1,0)+IF(P19=0,1,0)+IF(Q19=0,1,0)+IF(R19=0,1,0)+IF(S19=0,1,0)+IF(T19=0,1,0)+IF(U19=0,1,0)+IF(V19=0,1,0)+IF(W19=0,1,0)+IF(X19=0,1,0))</x:f>
        <x:v>17</x:v>
      </x:c>
      <x:c r="E19" s="129" t="n">
        <x:f>(IF(ABS(H19)&lt;=1,1,0)+IF(ABS(I19)&lt;=1,1,0)+IF(ABS(J19)&lt;=1,1,0)+IF(ABS(K19)&lt;=1,1,0)+IF(ABS(L19)&lt;=1,1,0)+IF(ABS(M19)&lt;=1,1,0)+IF(ABS(N19)&lt;=1,1,0)+IF(ABS(O19)&lt;=1,1,0)+IF(ABS(P19)&lt;=1,1,0)+IF(ABS(Q19)&lt;=1,1,0)+IF(ABS(R19)&lt;=1,1,0)+IF(ABS(S19)&lt;=1,1,0)+IF(ABS(T19)&lt;=1,1,0)+IF(ABS(U19)&lt;=1,1,0)+IF(ABS(V19)&lt;=1,1,0)+IF(ABS(W19)&lt;=1,1,0)+IF(ABS(X19)&lt;=1,1,0))</x:f>
        <x:v>17</x:v>
      </x:c>
      <x:c r="F19" s="129" t="n">
        <x:f>MAX(ABS(H19),ABS(I19),ABS(J19),ABS(K19),ABS(L19),ABS(M19),ABS(N19),ABS(O19),ABS(P19),ABS(Q19),ABS(R19),ABS(S19),ABS(T19),ABS(U19),ABS(V19),ABS(W19),ABS(X19))</x:f>
        <x:v>0</x:v>
      </x:c>
      <x:c r="G19" s="129" t="str">
        <x:f>IF(F19&gt;1,"Discuss",IF(C19&lt;=0.25,"Aligned","Review"))</x:f>
        <x:v>Aligned</x:v>
      </x:c>
      <x:c r="H19" s="129" t="n">
        <x:f>Agent_Pass_v0.1!D12-Reference_Key!E12</x:f>
        <x:v>0</x:v>
      </x:c>
      <x:c r="I19" s="129" t="n">
        <x:f>Agent_Pass_v0.1!E12-Reference_Key!F12</x:f>
        <x:v>0</x:v>
      </x:c>
      <x:c r="J19" s="129" t="n">
        <x:f>Agent_Pass_v0.1!F12-Reference_Key!G12</x:f>
        <x:v>0</x:v>
      </x:c>
      <x:c r="K19" s="129" t="n">
        <x:f>Agent_Pass_v0.1!G12-Reference_Key!H12</x:f>
        <x:v>0</x:v>
      </x:c>
      <x:c r="L19" s="129" t="n">
        <x:f>Agent_Pass_v0.1!H12-Reference_Key!I12</x:f>
        <x:v>0</x:v>
      </x:c>
      <x:c r="M19" s="129" t="n">
        <x:f>Agent_Pass_v0.1!I12-Reference_Key!J12</x:f>
        <x:v>0</x:v>
      </x:c>
      <x:c r="N19" s="129" t="n">
        <x:f>Agent_Pass_v0.1!J12-Reference_Key!K12</x:f>
        <x:v>0</x:v>
      </x:c>
      <x:c r="O19" s="129" t="n">
        <x:f>Agent_Pass_v0.1!K12-Reference_Key!L12</x:f>
        <x:v>0</x:v>
      </x:c>
      <x:c r="P19" s="129" t="n">
        <x:f>Agent_Pass_v0.1!L12-Reference_Key!M12</x:f>
        <x:v>0</x:v>
      </x:c>
      <x:c r="Q19" s="129" t="n">
        <x:f>Agent_Pass_v0.1!M12-Reference_Key!N12</x:f>
        <x:v>0</x:v>
      </x:c>
      <x:c r="R19" s="129" t="n">
        <x:f>Agent_Pass_v0.1!N12-Reference_Key!O12</x:f>
        <x:v>0</x:v>
      </x:c>
      <x:c r="S19" s="129" t="n">
        <x:f>Agent_Pass_v0.1!O12-Reference_Key!P12</x:f>
        <x:v>0</x:v>
      </x:c>
      <x:c r="T19" s="129" t="n">
        <x:f>Agent_Pass_v0.1!P12-Reference_Key!Q12</x:f>
        <x:v>0</x:v>
      </x:c>
      <x:c r="U19" s="129" t="n">
        <x:f>Agent_Pass_v0.1!Q12-Reference_Key!R12</x:f>
        <x:v>0</x:v>
      </x:c>
      <x:c r="V19" s="129" t="n">
        <x:f>Agent_Pass_v0.1!R12-Reference_Key!S12</x:f>
        <x:v>0</x:v>
      </x:c>
      <x:c r="W19" s="129" t="n">
        <x:f>Agent_Pass_v0.1!S12-Reference_Key!T12</x:f>
        <x:v>0</x:v>
      </x:c>
      <x:c r="X19" s="129" t="n">
        <x:f>Agent_Pass_v0.1!T12-Reference_Key!U12</x:f>
        <x:v>0</x:v>
      </x:c>
      <x:c r="Y19" s="129" t="n">
        <x:f>F19</x:f>
        <x:v>0</x:v>
      </x:c>
      <x:c r="Z19" s="45" t="str">
        <x:v>Best anchor: formula rules and expert key align across all dimensions.</x:v>
      </x:c>
    </x:row>
    <x:row r="20" ht="50" customHeight="1">
      <x:c r="A20" s="129" t="str">
        <x:v>P08</x:v>
      </x:c>
      <x:c r="B20" s="129" t="str">
        <x:v>Balea med — Shampoo Ultra Sensitive</x:v>
      </x:c>
      <x:c r="C20" s="131" t="n">
        <x:f>(ABS(H20)+ABS(I20)+ABS(J20)+ABS(K20)+ABS(L20)+ABS(M20)+ABS(N20)+ABS(O20)+ABS(P20)+ABS(Q20)+ABS(R20)+ABS(S20)+ABS(T20)+ABS(U20)+ABS(V20)+ABS(W20)+ABS(X20))/17</x:f>
        <x:v>0.17647058823529413</x:v>
      </x:c>
      <x:c r="D20" s="129" t="n">
        <x:f>(IF(H20=0,1,0)+IF(I20=0,1,0)+IF(J20=0,1,0)+IF(K20=0,1,0)+IF(L20=0,1,0)+IF(M20=0,1,0)+IF(N20=0,1,0)+IF(O20=0,1,0)+IF(P20=0,1,0)+IF(Q20=0,1,0)+IF(R20=0,1,0)+IF(S20=0,1,0)+IF(T20=0,1,0)+IF(U20=0,1,0)+IF(V20=0,1,0)+IF(W20=0,1,0)+IF(X20=0,1,0))</x:f>
        <x:v>14</x:v>
      </x:c>
      <x:c r="E20" s="129" t="n">
        <x:f>(IF(ABS(H20)&lt;=1,1,0)+IF(ABS(I20)&lt;=1,1,0)+IF(ABS(J20)&lt;=1,1,0)+IF(ABS(K20)&lt;=1,1,0)+IF(ABS(L20)&lt;=1,1,0)+IF(ABS(M20)&lt;=1,1,0)+IF(ABS(N20)&lt;=1,1,0)+IF(ABS(O20)&lt;=1,1,0)+IF(ABS(P20)&lt;=1,1,0)+IF(ABS(Q20)&lt;=1,1,0)+IF(ABS(R20)&lt;=1,1,0)+IF(ABS(S20)&lt;=1,1,0)+IF(ABS(T20)&lt;=1,1,0)+IF(ABS(U20)&lt;=1,1,0)+IF(ABS(V20)&lt;=1,1,0)+IF(ABS(W20)&lt;=1,1,0)+IF(ABS(X20)&lt;=1,1,0))</x:f>
        <x:v>17</x:v>
      </x:c>
      <x:c r="F20" s="129" t="n">
        <x:f>MAX(ABS(H20),ABS(I20),ABS(J20),ABS(K20),ABS(L20),ABS(M20),ABS(N20),ABS(O20),ABS(P20),ABS(Q20),ABS(R20),ABS(S20),ABS(T20),ABS(U20),ABS(V20),ABS(W20),ABS(X20))</x:f>
        <x:v>1</x:v>
      </x:c>
      <x:c r="G20" s="129" t="str">
        <x:f>IF(F20&gt;1,"Discuss",IF(C20&lt;=0.25,"Aligned","Review"))</x:f>
        <x:v>Aligned</x:v>
      </x:c>
      <x:c r="H20" s="129" t="n">
        <x:f>Agent_Pass_v0.1!D13-Reference_Key!E13</x:f>
        <x:v>0</x:v>
      </x:c>
      <x:c r="I20" s="129" t="n">
        <x:f>Agent_Pass_v0.1!E13-Reference_Key!F13</x:f>
        <x:v>0</x:v>
      </x:c>
      <x:c r="J20" s="129" t="n">
        <x:f>Agent_Pass_v0.1!F13-Reference_Key!G13</x:f>
        <x:v>0</x:v>
      </x:c>
      <x:c r="K20" s="129" t="n">
        <x:f>Agent_Pass_v0.1!G13-Reference_Key!H13</x:f>
        <x:v>0</x:v>
      </x:c>
      <x:c r="L20" s="129" t="n">
        <x:f>Agent_Pass_v0.1!H13-Reference_Key!I13</x:f>
        <x:v>1</x:v>
      </x:c>
      <x:c r="M20" s="129" t="n">
        <x:f>Agent_Pass_v0.1!I13-Reference_Key!J13</x:f>
        <x:v>-1</x:v>
      </x:c>
      <x:c r="N20" s="129" t="n">
        <x:f>Agent_Pass_v0.1!J13-Reference_Key!K13</x:f>
        <x:v>0</x:v>
      </x:c>
      <x:c r="O20" s="129" t="n">
        <x:f>Agent_Pass_v0.1!K13-Reference_Key!L13</x:f>
        <x:v>0</x:v>
      </x:c>
      <x:c r="P20" s="129" t="n">
        <x:f>Agent_Pass_v0.1!L13-Reference_Key!M13</x:f>
        <x:v>0</x:v>
      </x:c>
      <x:c r="Q20" s="129" t="n">
        <x:f>Agent_Pass_v0.1!M13-Reference_Key!N13</x:f>
        <x:v>0</x:v>
      </x:c>
      <x:c r="R20" s="129" t="n">
        <x:f>Agent_Pass_v0.1!N13-Reference_Key!O13</x:f>
        <x:v>0</x:v>
      </x:c>
      <x:c r="S20" s="129" t="n">
        <x:f>Agent_Pass_v0.1!O13-Reference_Key!P13</x:f>
        <x:v>0</x:v>
      </x:c>
      <x:c r="T20" s="129" t="n">
        <x:f>Agent_Pass_v0.1!P13-Reference_Key!Q13</x:f>
        <x:v>0</x:v>
      </x:c>
      <x:c r="U20" s="129" t="n">
        <x:f>Agent_Pass_v0.1!Q13-Reference_Key!R13</x:f>
        <x:v>1</x:v>
      </x:c>
      <x:c r="V20" s="129" t="n">
        <x:f>Agent_Pass_v0.1!R13-Reference_Key!S13</x:f>
        <x:v>0</x:v>
      </x:c>
      <x:c r="W20" s="129" t="n">
        <x:f>Agent_Pass_v0.1!S13-Reference_Key!T13</x:f>
        <x:v>0</x:v>
      </x:c>
      <x:c r="X20" s="129" t="n">
        <x:f>Agent_Pass_v0.1!T13-Reference_Key!U13</x:f>
        <x:v>0</x:v>
      </x:c>
      <x:c r="Y20" s="129" t="n">
        <x:f>F20</x:f>
        <x:v>1</x:v>
      </x:c>
      <x:c r="Z20" s="45" t="str">
        <x:v>Acid presence and generic protection are over-triggered; S3 should require a removal rationale.</x:v>
      </x:c>
    </x:row>
    <x:row r="21" ht="50" customHeight="1">
      <x:c r="A21" s="129" t="str">
        <x:v>P09</x:v>
      </x:c>
      <x:c r="B21" s="129" t="str">
        <x:v>Cantu — Cream Cleanse Shampoo</x:v>
      </x:c>
      <x:c r="C21" s="131" t="n">
        <x:f>(ABS(H21)+ABS(I21)+ABS(J21)+ABS(K21)+ABS(L21)+ABS(M21)+ABS(N21)+ABS(O21)+ABS(P21)+ABS(Q21)+ABS(R21)+ABS(S21)+ABS(T21)+ABS(U21)+ABS(V21)+ABS(W21)+ABS(X21))/17</x:f>
        <x:v>0.23529411764705882</x:v>
      </x:c>
      <x:c r="D21" s="129" t="n">
        <x:f>(IF(H21=0,1,0)+IF(I21=0,1,0)+IF(J21=0,1,0)+IF(K21=0,1,0)+IF(L21=0,1,0)+IF(M21=0,1,0)+IF(N21=0,1,0)+IF(O21=0,1,0)+IF(P21=0,1,0)+IF(Q21=0,1,0)+IF(R21=0,1,0)+IF(S21=0,1,0)+IF(T21=0,1,0)+IF(U21=0,1,0)+IF(V21=0,1,0)+IF(W21=0,1,0)+IF(X21=0,1,0))</x:f>
        <x:v>13</x:v>
      </x:c>
      <x:c r="E21" s="129" t="n">
        <x:f>(IF(ABS(H21)&lt;=1,1,0)+IF(ABS(I21)&lt;=1,1,0)+IF(ABS(J21)&lt;=1,1,0)+IF(ABS(K21)&lt;=1,1,0)+IF(ABS(L21)&lt;=1,1,0)+IF(ABS(M21)&lt;=1,1,0)+IF(ABS(N21)&lt;=1,1,0)+IF(ABS(O21)&lt;=1,1,0)+IF(ABS(P21)&lt;=1,1,0)+IF(ABS(Q21)&lt;=1,1,0)+IF(ABS(R21)&lt;=1,1,0)+IF(ABS(S21)&lt;=1,1,0)+IF(ABS(T21)&lt;=1,1,0)+IF(ABS(U21)&lt;=1,1,0)+IF(ABS(V21)&lt;=1,1,0)+IF(ABS(W21)&lt;=1,1,0)+IF(ABS(X21)&lt;=1,1,0))</x:f>
        <x:v>17</x:v>
      </x:c>
      <x:c r="F21" s="129" t="n">
        <x:f>MAX(ABS(H21),ABS(I21),ABS(J21),ABS(K21),ABS(L21),ABS(M21),ABS(N21),ABS(O21),ABS(P21),ABS(Q21),ABS(R21),ABS(S21),ABS(T21),ABS(U21),ABS(V21),ABS(W21),ABS(X21))</x:f>
        <x:v>1</x:v>
      </x:c>
      <x:c r="G21" s="129" t="str">
        <x:f>IF(F21&gt;1,"Discuss",IF(C21&lt;=0.25,"Aligned","Review"))</x:f>
        <x:v>Aligned</x:v>
      </x:c>
      <x:c r="H21" s="129" t="n">
        <x:f>Agent_Pass_v0.1!D14-Reference_Key!E14</x:f>
        <x:v>0</x:v>
      </x:c>
      <x:c r="I21" s="129" t="n">
        <x:f>Agent_Pass_v0.1!E14-Reference_Key!F14</x:f>
        <x:v>0</x:v>
      </x:c>
      <x:c r="J21" s="129" t="n">
        <x:f>Agent_Pass_v0.1!F14-Reference_Key!G14</x:f>
        <x:v>0</x:v>
      </x:c>
      <x:c r="K21" s="129" t="n">
        <x:f>Agent_Pass_v0.1!G14-Reference_Key!H14</x:f>
        <x:v>0</x:v>
      </x:c>
      <x:c r="L21" s="129" t="n">
        <x:f>Agent_Pass_v0.1!H14-Reference_Key!I14</x:f>
        <x:v>1</x:v>
      </x:c>
      <x:c r="M21" s="129" t="n">
        <x:f>Agent_Pass_v0.1!I14-Reference_Key!J14</x:f>
        <x:v>0</x:v>
      </x:c>
      <x:c r="N21" s="129" t="n">
        <x:f>Agent_Pass_v0.1!J14-Reference_Key!K14</x:f>
        <x:v>0</x:v>
      </x:c>
      <x:c r="O21" s="129" t="n">
        <x:f>Agent_Pass_v0.1!K14-Reference_Key!L14</x:f>
        <x:v>0</x:v>
      </x:c>
      <x:c r="P21" s="129" t="n">
        <x:f>Agent_Pass_v0.1!L14-Reference_Key!M14</x:f>
        <x:v>1</x:v>
      </x:c>
      <x:c r="Q21" s="129" t="n">
        <x:f>Agent_Pass_v0.1!M14-Reference_Key!N14</x:f>
        <x:v>0</x:v>
      </x:c>
      <x:c r="R21" s="129" t="n">
        <x:f>Agent_Pass_v0.1!N14-Reference_Key!O14</x:f>
        <x:v>0</x:v>
      </x:c>
      <x:c r="S21" s="129" t="n">
        <x:f>Agent_Pass_v0.1!O14-Reference_Key!P14</x:f>
        <x:v>1</x:v>
      </x:c>
      <x:c r="T21" s="129" t="n">
        <x:f>Agent_Pass_v0.1!P14-Reference_Key!Q14</x:f>
        <x:v>0</x:v>
      </x:c>
      <x:c r="U21" s="129" t="n">
        <x:f>Agent_Pass_v0.1!Q14-Reference_Key!R14</x:f>
        <x:v>1</x:v>
      </x:c>
      <x:c r="V21" s="129" t="n">
        <x:f>Agent_Pass_v0.1!R14-Reference_Key!S14</x:f>
        <x:v>0</x:v>
      </x:c>
      <x:c r="W21" s="129" t="n">
        <x:f>Agent_Pass_v0.1!S14-Reference_Key!T14</x:f>
        <x:v>0</x:v>
      </x:c>
      <x:c r="X21" s="129" t="n">
        <x:f>Agent_Pass_v0.1!T14-Reference_Key!U14</x:f>
        <x:v>0</x:v>
      </x:c>
      <x:c r="Y21" s="129" t="n">
        <x:f>F21</x:f>
        <x:v>1</x:v>
      </x:c>
      <x:c r="Z21" s="45" t="str">
        <x:v>Film-former presence overstates body/repair; sulfate-free must not inflate mildness.</x:v>
      </x:c>
    </x:row>
    <x:row r="22" ht="50" customHeight="1">
      <x:c r="A22" s="46" t="str">
        <x:v>P10</x:v>
      </x:c>
      <x:c r="B22" s="46" t="str">
        <x:v>Head &amp; Shoulders — Anti-Schuppen Shampoo Classic Clean</x:v>
      </x:c>
      <x:c r="C22" s="85" t="n">
        <x:f>(ABS(H22)+ABS(I22)+ABS(J22)+ABS(K22)+ABS(L22)+ABS(M22)+ABS(N22)+ABS(O22)+ABS(P22)+ABS(Q22)+ABS(R22)+ABS(S22)+ABS(T22)+ABS(U22)+ABS(V22)+ABS(W22)+ABS(X22))/17</x:f>
        <x:v>0.17647058823529413</x:v>
      </x:c>
      <x:c r="D22" s="46" t="n">
        <x:f>(IF(H22=0,1,0)+IF(I22=0,1,0)+IF(J22=0,1,0)+IF(K22=0,1,0)+IF(L22=0,1,0)+IF(M22=0,1,0)+IF(N22=0,1,0)+IF(O22=0,1,0)+IF(P22=0,1,0)+IF(Q22=0,1,0)+IF(R22=0,1,0)+IF(S22=0,1,0)+IF(T22=0,1,0)+IF(U22=0,1,0)+IF(V22=0,1,0)+IF(W22=0,1,0)+IF(X22=0,1,0))</x:f>
        <x:v>14</x:v>
      </x:c>
      <x:c r="E22" s="46" t="n">
        <x:f>(IF(ABS(H22)&lt;=1,1,0)+IF(ABS(I22)&lt;=1,1,0)+IF(ABS(J22)&lt;=1,1,0)+IF(ABS(K22)&lt;=1,1,0)+IF(ABS(L22)&lt;=1,1,0)+IF(ABS(M22)&lt;=1,1,0)+IF(ABS(N22)&lt;=1,1,0)+IF(ABS(O22)&lt;=1,1,0)+IF(ABS(P22)&lt;=1,1,0)+IF(ABS(Q22)&lt;=1,1,0)+IF(ABS(R22)&lt;=1,1,0)+IF(ABS(S22)&lt;=1,1,0)+IF(ABS(T22)&lt;=1,1,0)+IF(ABS(U22)&lt;=1,1,0)+IF(ABS(V22)&lt;=1,1,0)+IF(ABS(W22)&lt;=1,1,0)+IF(ABS(X22)&lt;=1,1,0))</x:f>
        <x:v>17</x:v>
      </x:c>
      <x:c r="F22" s="46" t="n">
        <x:f>MAX(ABS(H22),ABS(I22),ABS(J22),ABS(K22),ABS(L22),ABS(M22),ABS(N22),ABS(O22),ABS(P22),ABS(Q22),ABS(R22),ABS(S22),ABS(T22),ABS(U22),ABS(V22),ABS(W22),ABS(X22))</x:f>
        <x:v>1</x:v>
      </x:c>
      <x:c r="G22" s="46" t="str">
        <x:f>IF(F22&gt;1,"Discuss",IF(C22&lt;=0.25,"Aligned","Review"))</x:f>
        <x:v>Aligned</x:v>
      </x:c>
      <x:c r="H22" s="46" t="n">
        <x:f>Agent_Pass_v0.1!D15-Reference_Key!E15</x:f>
        <x:v>0</x:v>
      </x:c>
      <x:c r="I22" s="46" t="n">
        <x:f>Agent_Pass_v0.1!E15-Reference_Key!F15</x:f>
        <x:v>0</x:v>
      </x:c>
      <x:c r="J22" s="46" t="n">
        <x:f>Agent_Pass_v0.1!F15-Reference_Key!G15</x:f>
        <x:v>1</x:v>
      </x:c>
      <x:c r="K22" s="46" t="n">
        <x:f>Agent_Pass_v0.1!G15-Reference_Key!H15</x:f>
        <x:v>0</x:v>
      </x:c>
      <x:c r="L22" s="46" t="n">
        <x:f>Agent_Pass_v0.1!H15-Reference_Key!I15</x:f>
        <x:v>1</x:v>
      </x:c>
      <x:c r="M22" s="46" t="n">
        <x:f>Agent_Pass_v0.1!I15-Reference_Key!J15</x:f>
        <x:v>0</x:v>
      </x:c>
      <x:c r="N22" s="46" t="n">
        <x:f>Agent_Pass_v0.1!J15-Reference_Key!K15</x:f>
        <x:v>0</x:v>
      </x:c>
      <x:c r="O22" s="46" t="n">
        <x:f>Agent_Pass_v0.1!K15-Reference_Key!L15</x:f>
        <x:v>0</x:v>
      </x:c>
      <x:c r="P22" s="46" t="n">
        <x:f>Agent_Pass_v0.1!L15-Reference_Key!M15</x:f>
        <x:v>0</x:v>
      </x:c>
      <x:c r="Q22" s="46" t="n">
        <x:f>Agent_Pass_v0.1!M15-Reference_Key!N15</x:f>
        <x:v>0</x:v>
      </x:c>
      <x:c r="R22" s="46" t="n">
        <x:f>Agent_Pass_v0.1!N15-Reference_Key!O15</x:f>
        <x:v>0</x:v>
      </x:c>
      <x:c r="S22" s="46" t="n">
        <x:f>Agent_Pass_v0.1!O15-Reference_Key!P15</x:f>
        <x:v>0</x:v>
      </x:c>
      <x:c r="T22" s="46" t="n">
        <x:f>Agent_Pass_v0.1!P15-Reference_Key!Q15</x:f>
        <x:v>0</x:v>
      </x:c>
      <x:c r="U22" s="46" t="n">
        <x:f>Agent_Pass_v0.1!Q15-Reference_Key!R15</x:f>
        <x:v>1</x:v>
      </x:c>
      <x:c r="V22" s="46" t="n">
        <x:f>Agent_Pass_v0.1!R15-Reference_Key!S15</x:f>
        <x:v>0</x:v>
      </x:c>
      <x:c r="W22" s="46" t="n">
        <x:f>Agent_Pass_v0.1!S15-Reference_Key!T15</x:f>
        <x:v>0</x:v>
      </x:c>
      <x:c r="X22" s="46" t="n">
        <x:f>Agent_Pass_v0.1!T15-Reference_Key!U15</x:f>
        <x:v>0</x:v>
      </x:c>
      <x:c r="Y22" s="46" t="n">
        <x:f>F22</x:f>
        <x:v>1</x:v>
      </x:c>
      <x:c r="Z22" s="47" t="str">
        <x:v>Multi-silicone weight and acid/protection rules need caution; specialist efficacy remains out of scope.</x:v>
      </x:c>
    </x:row>
    <x:row r="26">
      <x:c r="A26" s="124" t="str">
        <x:v>Dimension</x:v>
      </x:c>
      <x:c r="B26" s="125" t="str">
        <x:v>Mean signed drift</x:v>
      </x:c>
      <x:c r="C26" s="125" t="str">
        <x:v>Mean absolute difference</x:v>
      </x:c>
      <x:c r="D26" s="125" t="str">
        <x:v>Non-zero products</x:v>
      </x:c>
      <x:c r="E26" s="126" t="str">
        <x:v>Calibration recommendation</x:v>
      </x:c>
    </x:row>
    <x:row r="27" ht="42" customHeight="1">
      <x:c r="A27" s="129" t="str">
        <x:v>CLN</x:v>
      </x:c>
      <x:c r="B27" s="131" t="n">
        <x:f>SUM(H13:H22)/10</x:f>
        <x:v>0</x:v>
      </x:c>
      <x:c r="C27" s="131" t="n">
        <x:f>(ABS(H13)+ABS(H14)+ABS(H15)+ABS(H16)+ABS(H17)+ABS(H18)+ABS(H19)+ABS(H20)+ABS(H21)+ABS(H22))/10</x:f>
        <x:v>0</x:v>
      </x:c>
      <x:c r="D27" s="129" t="n">
        <x:f>COUNTIF(H13:H22,"&lt;&gt;0")</x:f>
        <x:v>0</x:v>
      </x:c>
      <x:c r="E27" s="45" t="str">
        <x:v>Stable in this set; retain whole-surfactant-system logic.</x:v>
      </x:c>
    </x:row>
    <x:row r="28" ht="42" customHeight="1">
      <x:c r="A28" s="129" t="str">
        <x:v>COND</x:v>
      </x:c>
      <x:c r="B28" s="131" t="n">
        <x:f>SUM(I13:I22)/10</x:f>
        <x:v>0</x:v>
      </x:c>
      <x:c r="C28" s="131" t="n">
        <x:f>(ABS(I13)+ABS(I14)+ABS(I15)+ABS(I16)+ABS(I17)+ABS(I18)+ABS(I19)+ABS(I20)+ABS(I21)+ABS(I22))/10</x:f>
        <x:v>0</x:v>
      </x:c>
      <x:c r="D28" s="129" t="n">
        <x:f>COUNTIF(I13:I22,"&lt;&gt;0")</x:f>
        <x:v>0</x:v>
      </x:c>
      <x:c r="E28" s="45" t="str">
        <x:v>Stable; continue separating silicone and non-silicone deposition.</x:v>
      </x:c>
    </x:row>
    <x:row r="29" ht="42" customHeight="1">
      <x:c r="A29" s="129" t="str">
        <x:v>WT</x:v>
      </x:c>
      <x:c r="B29" s="131" t="n">
        <x:f>SUM(J13:J22)/10</x:f>
        <x:v>0.2</x:v>
      </x:c>
      <x:c r="C29" s="131" t="n">
        <x:f>(ABS(J13)+ABS(J14)+ABS(J15)+ABS(J16)+ABS(J17)+ABS(J18)+ABS(J19)+ABS(J20)+ABS(J21)+ABS(J22))/10</x:f>
        <x:v>0.2</x:v>
      </x:c>
      <x:c r="D29" s="129" t="n">
        <x:f>COUNTIF(J13:J22,"&lt;&gt;0")</x:f>
        <x:v>2</x:v>
      </x:c>
      <x:c r="E29" s="45" t="str">
        <x:v>Add stronger discounting for selective/rinse-off deposition; avoid counting every polymer equally.</x:v>
      </x:c>
    </x:row>
    <x:row r="30" ht="42" customHeight="1">
      <x:c r="A30" s="129" t="str">
        <x:v>S1</x:v>
      </x:c>
      <x:c r="B30" s="131" t="n">
        <x:f>SUM(K13:K22)/10</x:f>
        <x:v>0</x:v>
      </x:c>
      <x:c r="C30" s="131" t="n">
        <x:f>(ABS(K13)+ABS(K14)+ABS(K15)+ABS(K16)+ABS(K17)+ABS(K18)+ABS(K19)+ABS(K20)+ABS(K21)+ABS(K22))/10</x:f>
        <x:v>0</x:v>
      </x:c>
      <x:c r="D30" s="129" t="n">
        <x:f>COUNTIF(K13:K22,"&lt;&gt;0")</x:f>
        <x:v>0</x:v>
      </x:c>
      <x:c r="E30" s="45" t="str">
        <x:v>Stable strong route; keep hero-ingredient claims secondary.</x:v>
      </x:c>
    </x:row>
    <x:row r="31" ht="42" customHeight="1">
      <x:c r="A31" s="129" t="str">
        <x:v>S2</x:v>
      </x:c>
      <x:c r="B31" s="131" t="n">
        <x:f>SUM(L13:L22)/10</x:f>
        <x:v>0.6</x:v>
      </x:c>
      <x:c r="C31" s="131" t="n">
        <x:f>(ABS(L13)+ABS(L14)+ABS(L15)+ABS(L16)+ABS(L17)+ABS(L18)+ABS(L19)+ABS(L20)+ABS(L21)+ABS(L22))/10</x:f>
        <x:v>0.6</x:v>
      </x:c>
      <x:c r="D31" s="129" t="n">
        <x:f>COUNTIF(L13:L22,"&lt;&gt;0")</x:f>
        <x:v>6</x:v>
      </x:c>
      <x:c r="E31" s="45" t="str">
        <x:v>Tighten sharply: acid name alone should usually score 0–1 without pH or coherent acid architecture.</x:v>
      </x:c>
    </x:row>
    <x:row r="32" ht="42" customHeight="1">
      <x:c r="A32" s="129" t="str">
        <x:v>S3</x:v>
      </x:c>
      <x:c r="B32" s="131" t="n">
        <x:f>SUM(M13:M22)/10</x:f>
        <x:v>-0.1</x:v>
      </x:c>
      <x:c r="C32" s="131" t="n">
        <x:f>(ABS(M13)+ABS(M14)+ABS(M15)+ABS(M16)+ABS(M17)+ABS(M18)+ABS(M19)+ABS(M20)+ABS(M21)+ABS(M22))/10</x:f>
        <x:v>0.1</x:v>
      </x:c>
      <x:c r="D32" s="129" t="n">
        <x:f>COUNTIF(M13:M22,"&lt;&gt;0")</x:f>
        <x:v>1</x:v>
      </x:c>
      <x:c r="E32" s="45" t="str">
        <x:v>Require a concrete dulling-deposit removal rationale, not just ordinary cleansing.</x:v>
      </x:c>
    </x:row>
    <x:row r="33" ht="42" customHeight="1">
      <x:c r="A33" s="129" t="str">
        <x:v>S4</x:v>
      </x:c>
      <x:c r="B33" s="131" t="n">
        <x:f>SUM(N13:N22)/10</x:f>
        <x:v>0</x:v>
      </x:c>
      <x:c r="C33" s="131" t="n">
        <x:f>(ABS(N13)+ABS(N14)+ABS(N15)+ABS(N16)+ABS(N17)+ABS(N18)+ABS(N19)+ABS(N20)+ABS(N21)+ABS(N22))/10</x:f>
        <x:v>0</x:v>
      </x:c>
      <x:c r="D33" s="129" t="n">
        <x:f>COUNTIF(N13:N22,"&lt;&gt;0")</x:f>
        <x:v>0</x:v>
      </x:c>
      <x:c r="E33" s="45" t="str">
        <x:v>Stable; keep toning/color brightness separate from physical gloss.</x:v>
      </x:c>
    </x:row>
    <x:row r="34" ht="42" customHeight="1">
      <x:c r="A34" s="129" t="str">
        <x:v>V1</x:v>
      </x:c>
      <x:c r="B34" s="131" t="n">
        <x:f>SUM(O13:O22)/10</x:f>
        <x:v>0.2</x:v>
      </x:c>
      <x:c r="C34" s="131" t="n">
        <x:f>(ABS(O13)+ABS(O14)+ABS(O15)+ABS(O16)+ABS(O17)+ABS(O18)+ABS(O19)+ABS(O20)+ABS(O21)+ABS(O22))/10</x:f>
        <x:v>0.2</x:v>
      </x:c>
      <x:c r="D34" s="129" t="n">
        <x:f>COUNTIF(O13:O22,"&lt;&gt;0")</x:f>
        <x:v>2</x:v>
      </x:c>
      <x:c r="E34" s="45" t="str">
        <x:v>Formula signal can exist without a volume claim; separate mechanism from recommendation relevance.</x:v>
      </x:c>
    </x:row>
    <x:row r="35" ht="42" customHeight="1">
      <x:c r="A35" s="129" t="str">
        <x:v>V2</x:v>
      </x:c>
      <x:c r="B35" s="131" t="n">
        <x:f>SUM(P13:P22)/10</x:f>
        <x:v>0.2</x:v>
      </x:c>
      <x:c r="C35" s="131" t="n">
        <x:f>(ABS(P13)+ABS(P14)+ABS(P15)+ABS(P16)+ABS(P17)+ABS(P18)+ABS(P19)+ABS(P20)+ABS(P21)+ABS(P22))/10</x:f>
        <x:v>0.2</x:v>
      </x:c>
      <x:c r="D35" s="129" t="n">
        <x:f>COUNTIF(P13:P22,"&lt;&gt;0")</x:f>
        <x:v>2</x:v>
      </x:c>
      <x:c r="E35" s="45" t="str">
        <x:v>Discount isolated/late proteins and generic rheology polymers unless deposition/bodying is plausible.</x:v>
      </x:c>
    </x:row>
    <x:row r="36" ht="42" customHeight="1">
      <x:c r="A36" s="129" t="str">
        <x:v>V3</x:v>
      </x:c>
      <x:c r="B36" s="131" t="n">
        <x:f>SUM(Q13:Q22)/10</x:f>
        <x:v>-0.1</x:v>
      </x:c>
      <x:c r="C36" s="131" t="n">
        <x:f>(ABS(Q13)+ABS(Q14)+ABS(Q15)+ABS(Q16)+ABS(Q17)+ABS(Q18)+ABS(Q19)+ABS(Q20)+ABS(Q21)+ABS(Q22))/10</x:f>
        <x:v>0.1</x:v>
      </x:c>
      <x:c r="D36" s="129" t="n">
        <x:f>COUNTIF(Q13:Q22,"&lt;&gt;0")</x:f>
        <x:v>1</x:v>
      </x:c>
      <x:c r="E36" s="45" t="str">
        <x:v>Require explicit reset/clarifying purpose or strong buildup-removal architecture.</x:v>
      </x:c>
    </x:row>
    <x:row r="37" ht="42" customHeight="1">
      <x:c r="A37" s="129" t="str">
        <x:v>R1</x:v>
      </x:c>
      <x:c r="B37" s="131" t="n">
        <x:f>SUM(R13:R22)/10</x:f>
        <x:v>0</x:v>
      </x:c>
      <x:c r="C37" s="131" t="n">
        <x:f>(ABS(R13)+ABS(R14)+ABS(R15)+ABS(R16)+ABS(R17)+ABS(R18)+ABS(R19)+ABS(R20)+ABS(R21)+ABS(R22))/10</x:f>
        <x:v>0</x:v>
      </x:c>
      <x:c r="D37" s="129" t="n">
        <x:f>COUNTIF(R13:R22,"&lt;&gt;0")</x:f>
        <x:v>0</x:v>
      </x:c>
      <x:c r="E37" s="45" t="str">
        <x:v>Stable; conditioning is a defensible protective-repair route.</x:v>
      </x:c>
    </x:row>
    <x:row r="38" ht="42" customHeight="1">
      <x:c r="A38" s="129" t="str">
        <x:v>R2</x:v>
      </x:c>
      <x:c r="B38" s="131" t="n">
        <x:f>SUM(S13:S22)/10</x:f>
        <x:v>0</x:v>
      </x:c>
      <x:c r="C38" s="131" t="n">
        <x:f>(ABS(S13)+ABS(S14)+ABS(S15)+ABS(S16)+ABS(S17)+ABS(S18)+ABS(S19)+ABS(S20)+ABS(S21)+ABS(S22))/10</x:f>
        <x:v>0.4</x:v>
      </x:c>
      <x:c r="D38" s="129" t="n">
        <x:f>COUNTIF(S13:S22,"&lt;&gt;0")</x:f>
        <x:v>4</x:v>
      </x:c>
      <x:c r="E38" s="45" t="str">
        <x:v>Do not equate any protein/polymer with meaningful patching; use position and delivery context.</x:v>
      </x:c>
    </x:row>
    <x:row r="39" ht="42" customHeight="1">
      <x:c r="A39" s="129" t="str">
        <x:v>R3</x:v>
      </x:c>
      <x:c r="B39" s="131" t="n">
        <x:f>SUM(T13:T22)/10</x:f>
        <x:v>-0.1</x:v>
      </x:c>
      <x:c r="C39" s="131" t="n">
        <x:f>(ABS(T13)+ABS(T14)+ABS(T15)+ABS(T16)+ABS(T17)+ABS(T18)+ABS(T19)+ABS(T20)+ABS(T21)+ABS(T22))/10</x:f>
        <x:v>0.1</x:v>
      </x:c>
      <x:c r="D39" s="129" t="n">
        <x:f>COUNTIF(T13:T22,"&lt;&gt;0")</x:f>
        <x:v>1</x:v>
      </x:c>
      <x:c r="E39" s="45" t="str">
        <x:v>Keep formula plausibility separate from product-specific bond evidence; consider a formula-only cap of 2.</x:v>
      </x:c>
    </x:row>
    <x:row r="40" ht="42" customHeight="1">
      <x:c r="A40" s="129" t="str">
        <x:v>R4</x:v>
      </x:c>
      <x:c r="B40" s="131" t="n">
        <x:f>SUM(U13:U22)/10</x:f>
        <x:v>0.7</x:v>
      </x:c>
      <x:c r="C40" s="131" t="n">
        <x:f>(ABS(U13)+ABS(U14)+ABS(U15)+ABS(U16)+ABS(U17)+ABS(U18)+ABS(U19)+ABS(U20)+ABS(U21)+ABS(U22))/10</x:f>
        <x:v>0.7</x:v>
      </x:c>
      <x:c r="D40" s="129" t="n">
        <x:f>COUNTIF(U13:U22,"&lt;&gt;0")</x:f>
        <x:v>7</x:v>
      </x:c>
      <x:c r="E40" s="45" t="str">
        <x:v>Current rule is too broad; generic acid/conditioning should not automatically produce a high prevention score.</x:v>
      </x:c>
    </x:row>
    <x:row r="41" ht="42" customHeight="1">
      <x:c r="A41" s="129" t="str">
        <x:v>OC</x:v>
      </x:c>
      <x:c r="B41" s="131" t="n">
        <x:f>SUM(V13:V22)/10</x:f>
        <x:v>0</x:v>
      </x:c>
      <x:c r="C41" s="131" t="n">
        <x:f>(ABS(V13)+ABS(V14)+ABS(V15)+ABS(V16)+ABS(V17)+ABS(V18)+ABS(V19)+ABS(V20)+ABS(V21)+ABS(V22))/10</x:f>
        <x:v>0</x:v>
      </x:c>
      <x:c r="D41" s="129" t="n">
        <x:f>COUNTIF(V13:V22,"&lt;&gt;0")</x:f>
        <x:v>0</x:v>
      </x:c>
      <x:c r="E41" s="45" t="str">
        <x:v>Stable; keep organic clarification separate from mineral removal.</x:v>
      </x:c>
    </x:row>
    <x:row r="42" ht="42" customHeight="1">
      <x:c r="A42" s="129" t="str">
        <x:v>IC</x:v>
      </x:c>
      <x:c r="B42" s="131" t="n">
        <x:f>SUM(W13:W22)/10</x:f>
        <x:v>0.1</x:v>
      </x:c>
      <x:c r="C42" s="131" t="n">
        <x:f>(ABS(W13)+ABS(W14)+ABS(W15)+ABS(W16)+ABS(W17)+ABS(W18)+ABS(W19)+ABS(W20)+ABS(W21)+ABS(W22))/10</x:f>
        <x:v>0.1</x:v>
      </x:c>
      <x:c r="D42" s="129" t="n">
        <x:f>COUNTIF(W13:W22,"&lt;&gt;0")</x:f>
        <x:v>1</x:v>
      </x:c>
      <x:c r="E42" s="45" t="str">
        <x:v>Single EDTA/GLDA often deserves only 0–1; multiple chelators plus purpose/contact support higher scores.</x:v>
      </x:c>
    </x:row>
    <x:row r="43" ht="42" customHeight="1">
      <x:c r="A43" s="46" t="str">
        <x:v>MILD</x:v>
      </x:c>
      <x:c r="B43" s="85" t="n">
        <x:f>SUM(X13:X22)/10</x:f>
        <x:v>0</x:v>
      </x:c>
      <x:c r="C43" s="85" t="n">
        <x:f>(ABS(X13)+ABS(X14)+ABS(X15)+ABS(X16)+ABS(X17)+ABS(X18)+ABS(X19)+ABS(X20)+ABS(X21)+ABS(X22))/10</x:f>
        <x:v>0</x:v>
      </x:c>
      <x:c r="D43" s="46" t="n">
        <x:f>COUNTIF(X13:X22,"&lt;&gt;0")</x:f>
        <x:v>0</x:v>
      </x:c>
      <x:c r="E43" s="47" t="str">
        <x:v>Stable here; never infer mildness from sulfate-free alone.</x:v>
      </x:c>
    </x:row>
  </x:sheetData>
  <x:mergeCells>
    <x:mergeCell ref="A1:AA1"/>
    <x:mergeCell ref="A2:AA2"/>
  </x:mergeCells>
  <x:conditionalFormatting sqref="H13:X22">
    <x:cfRule type="colorScale" priority="1">
      <x:colorScale>
        <x:cfvo type="min"/>
        <x:cfvo type="percentile" val="50"/>
        <x:cfvo type="max"/>
        <x:color rgb="FFF4A6A0"/>
        <x:color rgb="FFE6F4EA"/>
        <x:color rgb="FF7AC8BC"/>
      </x:colorScale>
    </x:cfRule>
  </x:conditionalFormatting>
  <x:conditionalFormatting sqref="C13:F22">
    <x:cfRule type="colorScale" priority="2">
      <x:colorScale>
        <x:cfvo type="min"/>
        <x:cfvo type="percentile" val="50"/>
        <x:cfvo type="max"/>
        <x:color rgb="FFE6F4EA"/>
        <x:color rgb="FFF3E7BD"/>
        <x:color rgb="FFFCE8E6"/>
      </x:colorScale>
    </x:cfRule>
  </x:conditionalFormatting>
  <x:conditionalFormatting sqref="B27:C43">
    <x:cfRule type="colorScale" priority="3">
      <x:colorScale>
        <x:cfvo type="min"/>
        <x:cfvo type="percentile" val="50"/>
        <x:cfvo type="max"/>
        <x:color rgb="FFF4A6A0"/>
        <x:color rgb="FFE6F4EA"/>
        <x:color rgb="FF7AC8BC"/>
      </x:colorScale>
    </x:cfRule>
  </x:conditionalFormatting>
  <x:pageMargins left="0.7" right="0.7" top="0.75" bottom="0.75" header="0.3" footer="0.3"/>
  <x:drawing xmlns:r="http://schemas.openxmlformats.org/officeDocument/2006/relationships" r:id="R95d06c52bec14afc"/>
</x:worksheet>
</file>

<file path=xl/worksheets/sheet10.xml><?xml version="1.0" encoding="utf-8"?>
<x:worksheet xmlns:x="http://schemas.openxmlformats.org/spreadsheetml/2006/main">
  <x:sheetFormatPr defaultRowHeight="15"/>
  <x:cols>
    <x:col min="1" max="1" width="22" hidden="0" customWidth="1"/>
    <x:col min="2" max="2" width="27" hidden="0" customWidth="1"/>
    <x:col min="3" max="3" width="27" hidden="0" customWidth="1"/>
    <x:col min="4" max="4" width="27" hidden="0" customWidth="1"/>
    <x:col min="5" max="5" width="27" hidden="0" customWidth="1"/>
    <x:col min="6" max="6" width="27" hidden="0" customWidth="1"/>
  </x:cols>
  <x:sheetData>
    <x:row r="1" ht="34" customHeight="1">
      <x:c r="A1" s="137" t="str">
        <x:v>Tightened scoring gates — v1.2</x:v>
      </x:c>
      <x:c r="B1" s="137"/>
      <x:c r="C1" s="137"/>
      <x:c r="D1" s="137"/>
      <x:c r="E1" s="137"/>
      <x:c r="F1" s="137"/>
    </x:row>
    <x:row r="2" ht="32" customHeight="1">
      <x:c r="A2" s="141" t="str">
        <x:v>These gates were added after the first ten-product calibration. A score of 2 or higher now requires G1, G2 and G3, followed by any route-specific cap.</x:v>
      </x:c>
      <x:c r="B2" s="141"/>
      <x:c r="C2" s="141"/>
      <x:c r="D2" s="141"/>
      <x:c r="E2" s="141"/>
      <x:c r="F2" s="141"/>
    </x:row>
    <x:row r="4">
      <x:c r="A4" s="153" t="str">
        <x:v>Code</x:v>
      </x:c>
      <x:c r="B4" s="154" t="str">
        <x:v>Rule</x:v>
      </x:c>
      <x:c r="C4" s="154" t="str">
        <x:v>Diagnostic question</x:v>
      </x:c>
      <x:c r="D4" s="155" t="str">
        <x:v>Operational consequence</x:v>
      </x:c>
    </x:row>
    <x:row r="5" ht="56" customHeight="1">
      <x:c r="A5" s="132" t="str">
        <x:v>G1</x:v>
      </x:c>
      <x:c r="B5" s="129" t="str">
        <x:v>Functional relevance</x:v>
      </x:c>
      <x:c r="C5" s="129" t="str">
        <x:v>Can the identified ingredient/system plausibly affect this exact endpoint?</x:v>
      </x:c>
      <x:c r="D5" s="45" t="str">
        <x:v>If no: score 0, regardless of marketing prominence.</x:v>
      </x:c>
    </x:row>
    <x:row r="6" ht="56" customHeight="1">
      <x:c r="A6" s="132" t="str">
        <x:v>G2</x:v>
      </x:c>
      <x:c r="B6" s="129" t="str">
        <x:v>Formula relevance and delivery</x:v>
      </x:c>
      <x:c r="C6" s="129" t="str">
        <x:v>Is it present in a plausible amount/context and can it reach or remain on the hair?</x:v>
      </x:c>
      <x:c r="D6" s="45" t="str">
        <x:v>If no or unclear: normally cap at 1.</x:v>
      </x:c>
    </x:row>
    <x:row r="7" ht="56" customHeight="1">
      <x:c r="A7" s="132" t="str">
        <x:v>G3</x:v>
      </x:c>
      <x:c r="B7" s="129" t="str">
        <x:v>Endpoint specificity</x:v>
      </x:c>
      <x:c r="C7" s="129" t="str">
        <x:v>Does the mechanism match this property rather than only a neighboring benefit?</x:v>
      </x:c>
      <x:c r="D7" s="45" t="str">
        <x:v>If no: do not transfer the signal to the requested property.</x:v>
      </x:c>
    </x:row>
    <x:row r="8" ht="56" customHeight="1">
      <x:c r="A8" s="132" t="str">
        <x:v>S2 cap</x:v>
      </x:c>
      <x:c r="B8" s="129" t="str">
        <x:v>Acidic shine</x:v>
      </x:c>
      <x:c r="C8" s="129" t="str">
        <x:v>An acid name alone does not establish meaningful acidic surface management.</x:v>
      </x:c>
      <x:c r="D8" s="45" t="str">
        <x:v>Acid alone: S2 ≤1. Score 2+ needs disclosed pH, early/coherent acid architecture or relevant product evidence.</x:v>
      </x:c>
    </x:row>
    <x:row r="9" ht="56" customHeight="1">
      <x:c r="A9" s="132" t="str">
        <x:v>V2/R2 cap</x:v>
      </x:c>
      <x:c r="B9" s="129" t="str">
        <x:v>Protein/polymer body or film</x:v>
      </x:c>
      <x:c r="C9" s="129" t="str">
        <x:v>Separate substantive hair-film ingredients from bottle thickeners and isolated decorative proteins.</x:v>
      </x:c>
      <x:c r="D9" s="45" t="str">
        <x:v>One isolated or multifunctional protein/polymer: V2/R2 ≤1 unless delivery and endpoint relevance are coherent.</x:v>
      </x:c>
    </x:row>
    <x:row r="10" ht="56" customHeight="1">
      <x:c r="A10" s="132" t="str">
        <x:v>R3 cap</x:v>
      </x:c>
      <x:c r="B10" s="129" t="str">
        <x:v>Bond-specific repair</x:v>
      </x:c>
      <x:c r="C10" s="129" t="str">
        <x:v>Generic acid, biotin, panthenol, generic protein or the word “bond” is not bond-specific.</x:v>
      </x:c>
      <x:c r="D10" s="45" t="str">
        <x:v>Generic cues: R3 ≤1. Store formula plausibility, evidence level and evidence scope separately.</x:v>
      </x:c>
    </x:row>
    <x:row r="11" ht="56" customHeight="1">
      <x:c r="A11" s="132" t="str">
        <x:v>R4 gate</x:v>
      </x:c>
      <x:c r="B11" s="129" t="str">
        <x:v>Damage prevention</x:v>
      </x:c>
      <x:c r="C11" s="129" t="str">
        <x:v>Name both the protected-against stressor and the matching protective route.</x:v>
      </x:c>
      <x:c r="D11" s="45" t="str">
        <x:v>R4 ≥2 requires a named stressor + matching route; R4 ≥3 requires a targeted purpose-built system.</x:v>
      </x:c>
    </x:row>
    <x:row r="12" ht="56" customHeight="1">
      <x:c r="A12" s="132" t="str">
        <x:v>WT model</x:v>
      </x:c>
      <x:c r="B12" s="129" t="str">
        <x:v>Weight/buildup</x:v>
      </x:c>
      <x:c r="C12" s="129" t="str">
        <x:v>Judge deposition load, persistence/accumulation and reset capacity separately.</x:v>
      </x:c>
      <x:c r="D12" s="45" t="str">
        <x:v>One depositor cannot create WT 3–4. Strong cleansing/reset capacity can lower net weight potential.</x:v>
      </x:c>
    </x:row>
    <x:row r="13" ht="56" customHeight="1">
      <x:c r="A13" s="132" t="str">
        <x:v>IC cap</x:v>
      </x:c>
      <x:c r="B13" s="129" t="str">
        <x:v>Inorganic chelation</x:v>
      </x:c>
      <x:c r="C13" s="129" t="str">
        <x:v>One late generic chelator may be present for formula stability rather than hair demineralization.</x:v>
      </x:c>
      <x:c r="D13" s="45" t="str">
        <x:v>Single late EDTA/GLDA/phytate: normally IC 0–1 unless purpose, combination, contact time or evidence strengthens it.</x:v>
      </x:c>
    </x:row>
    <x:row r="14" ht="56" customHeight="1">
      <x:c r="A14" s="132" t="str">
        <x:v>S3/V3 dependency</x:v>
      </x:c>
      <x:c r="B14" s="129" t="str">
        <x:v>Removal-derived shine and reset volume</x:v>
      </x:c>
      <x:c r="C14" s="129" t="str">
        <x:v>A removal benefit must identify what is being removed.</x:v>
      </x:c>
      <x:c r="D14" s="45" t="str">
        <x:v>S3/V3 cannot exceed the strongest relevant OC or IC route. V3 ≥2 requires a genuine reset architecture and low/moderate net weight.</x:v>
      </x:c>
    </x:row>
    <x:row r="15" ht="56" customHeight="1">
      <x:c r="A15" s="132" t="str">
        <x:v>Evidence firewall</x:v>
      </x:c>
      <x:c r="B15" s="129" t="str">
        <x:v>Formula scores versus testing</x:v>
      </x:c>
      <x:c r="C15" s="129" t="str">
        <x:v>Finished-product studies answer magnitude/scope, not formula architecture.</x:v>
      </x:c>
      <x:c r="D15" s="45" t="str">
        <x:v>Testing raises E0–E5 evidence/confidence only; it never increases the 0–4 formula score.</x:v>
      </x:c>
    </x:row>
    <x:row r="16" ht="56" customHeight="1">
      <x:c r="A16" s="61" t="str">
        <x:v>Conflict stop</x:v>
      </x:c>
      <x:c r="B16" s="46" t="str">
        <x:v>Identity/formula conflict</x:v>
      </x:c>
      <x:c r="C16" s="46" t="str">
        <x:v>Different GTINs or materially different INCIs may represent different products or reformulations.</x:v>
      </x:c>
      <x:c r="D16" s="47" t="str">
        <x:v>Mark provisional; never merge until identity/version is resolved.</x:v>
      </x:c>
    </x:row>
    <x:row r="19">
      <x:c r="A19" s="166" t="str">
        <x:v>Property</x:v>
      </x:c>
      <x:c r="B19" s="167" t="str">
        <x:v>0</x:v>
      </x:c>
      <x:c r="C19" s="167" t="str">
        <x:v>1</x:v>
      </x:c>
      <x:c r="D19" s="167" t="str">
        <x:v>2</x:v>
      </x:c>
      <x:c r="E19" s="167" t="str">
        <x:v>3</x:v>
      </x:c>
      <x:c r="F19" s="168" t="str">
        <x:v>4</x:v>
      </x:c>
    </x:row>
    <x:row r="20" ht="64" customHeight="1">
      <x:c r="A20" s="132" t="str">
        <x:v>S2 acidic route</x:v>
      </x:c>
      <x:c r="B20" s="129" t="str">
        <x:v>No acid/pH route</x:v>
      </x:c>
      <x:c r="C20" s="129" t="str">
        <x:v>Acid present; pH/architecture unclear</x:v>
      </x:c>
      <x:c r="D20" s="129" t="str">
        <x:v>Coherent acid system or disclosed relevant pH</x:v>
      </x:c>
      <x:c r="E20" s="129" t="str">
        <x:v>Purpose-built acidic architecture with strong formula relevance</x:v>
      </x:c>
      <x:c r="F20" s="45" t="str">
        <x:v>Rare; direct, dominant and specifically evidenced acidic route</x:v>
      </x:c>
    </x:row>
    <x:row r="21" ht="64" customHeight="1">
      <x:c r="A21" s="132" t="str">
        <x:v>WT weight</x:v>
      </x:c>
      <x:c r="B21" s="129" t="str">
        <x:v>No meaningful deposition</x:v>
      </x:c>
      <x:c r="C21" s="129" t="str">
        <x:v>Light/low-persistence deposition</x:v>
      </x:c>
      <x:c r="D21" s="129" t="str">
        <x:v>Moderate deposition or persistence, offset by rinse/reset</x:v>
      </x:c>
      <x:c r="E21" s="129" t="str">
        <x:v>Multiple persistent deposition routes with limited reset</x:v>
      </x:c>
      <x:c r="F21" s="45" t="str">
        <x:v>Very rich/cumulative system with strong persistence and poor reset</x:v>
      </x:c>
    </x:row>
    <x:row r="22" ht="64" customHeight="1">
      <x:c r="A22" s="132" t="str">
        <x:v>R3 bond-specific</x:v>
      </x:c>
      <x:c r="B22" s="129" t="str">
        <x:v>No bond-specific signal</x:v>
      </x:c>
      <x:c r="C22" s="129" t="str">
        <x:v>Generic branded/acid cue only</x:v>
      </x:c>
      <x:c r="D22" s="129" t="str">
        <x:v>Mapped bond-targeting technology; formula contribution uncertain</x:v>
      </x:c>
      <x:c r="E22" s="129" t="str">
        <x:v>Strong mapped technology in relevant delivery context</x:v>
      </x:c>
      <x:c r="F22" s="45" t="str">
        <x:v>Rare; dominant, directly demonstrated formula route</x:v>
      </x:c>
    </x:row>
    <x:row r="23" ht="64" customHeight="1">
      <x:c r="A23" s="132" t="str">
        <x:v>R4 prevention</x:v>
      </x:c>
      <x:c r="B23" s="129" t="str">
        <x:v>No prevention route</x:v>
      </x:c>
      <x:c r="C23" s="129" t="str">
        <x:v>Generic conditioning only</x:v>
      </x:c>
      <x:c r="D23" s="129" t="str">
        <x:v>Named stressor + plausible matching route</x:v>
      </x:c>
      <x:c r="E23" s="129" t="str">
        <x:v>Targeted purpose-built stressor-route system</x:v>
      </x:c>
      <x:c r="F23" s="45" t="str">
        <x:v>Rare; multiple strong targeted prevention routes</x:v>
      </x:c>
    </x:row>
    <x:row r="24" ht="64" customHeight="1">
      <x:c r="A24" s="61" t="str">
        <x:v>IC chelation</x:v>
      </x:c>
      <x:c r="B24" s="46" t="str">
        <x:v>No inorganic route</x:v>
      </x:c>
      <x:c r="C24" s="46" t="str">
        <x:v>One weak/late generic chelator</x:v>
      </x:c>
      <x:c r="D24" s="46" t="str">
        <x:v>Coherent or mapped mineral/metal route with uncertainty</x:v>
      </x:c>
      <x:c r="E24" s="46" t="str">
        <x:v>Purpose-built multi-signal chelation/neutralization</x:v>
      </x:c>
      <x:c r="F24" s="47" t="str">
        <x:v>Rare; direct dominant mineral/metal removal architecture</x:v>
      </x:c>
    </x:row>
  </x:sheetData>
  <x:mergeCells>
    <x:mergeCell ref="A1:F1"/>
    <x:mergeCell ref="A2:F2"/>
  </x:mergeCells>
  <x:pageMargins left="0.7" right="0.7" top="0.75" bottom="0.75" header="0.3" footer="0.3"/>
</x:worksheet>
</file>

<file path=xl/worksheets/sheet11.xml><?xml version="1.0" encoding="utf-8"?>
<x:worksheet xmlns:x="http://schemas.openxmlformats.org/spreadsheetml/2006/main">
  <x:sheetFormatPr defaultRowHeight="15"/>
  <x:cols>
    <x:col min="1" max="1" width="7" hidden="0" customWidth="1"/>
    <x:col min="2" max="2" width="22" hidden="0" customWidth="1"/>
    <x:col min="3" max="3" width="36" hidden="0" customWidth="1"/>
    <x:col min="4" max="4" width="12" hidden="0" customWidth="1"/>
    <x:col min="5" max="5" width="10" hidden="0" customWidth="1"/>
    <x:col min="6" max="6" width="18" hidden="0" customWidth="1"/>
    <x:col min="7" max="7" width="18" hidden="0" customWidth="1"/>
    <x:col min="8" max="8" width="13" hidden="0" customWidth="1"/>
    <x:col min="9" max="9" width="34" hidden="0" customWidth="1"/>
    <x:col min="10" max="10" width="44" hidden="0" customWidth="1"/>
    <x:col min="11" max="11" width="52" hidden="0" customWidth="1"/>
    <x:col min="12" max="12" width="92" hidden="0" customWidth="1"/>
    <x:col min="13" max="13" width="48" hidden="0" customWidth="1"/>
    <x:col min="14" max="14" width="48" hidden="0" customWidth="1"/>
    <x:col min="15" max="15" width="38" hidden="0" customWidth="1"/>
    <x:col min="16" max="16" width="62" hidden="0" customWidth="1"/>
    <x:col min="17" max="17" width="24" hidden="0" customWidth="1"/>
  </x:cols>
  <x:sheetData>
    <x:row r="1" ht="34" customHeight="1">
      <x:c r="A1" s="137" t="str">
        <x:v>Five-product stress-test inputs — v1.2</x:v>
      </x:c>
      <x:c r="B1" s="137"/>
      <x:c r="C1" s="137"/>
      <x:c r="D1" s="137"/>
      <x:c r="E1" s="137"/>
      <x:c r="F1" s="137"/>
      <x:c r="G1" s="137"/>
      <x:c r="H1" s="137"/>
      <x:c r="I1" s="137"/>
      <x:c r="J1" s="137"/>
      <x:c r="K1" s="137"/>
      <x:c r="L1" s="137"/>
      <x:c r="M1" s="137"/>
      <x:c r="N1" s="137"/>
      <x:c r="O1" s="137"/>
      <x:c r="P1" s="137"/>
      <x:c r="Q1" s="137"/>
    </x:row>
    <x:row r="2" ht="32" customHeight="1">
      <x:c r="A2" s="141" t="str">
        <x:v>These products were chosen adversarially to test the tightened rules. P14 is deliberately retained as a source-conflict case and must remain provisional.</x:v>
      </x:c>
      <x:c r="B2" s="141"/>
      <x:c r="C2" s="141"/>
      <x:c r="D2" s="141"/>
      <x:c r="E2" s="141"/>
      <x:c r="F2" s="141"/>
      <x:c r="G2" s="141"/>
      <x:c r="H2" s="141"/>
      <x:c r="I2" s="141"/>
      <x:c r="J2" s="141"/>
      <x:c r="K2" s="141"/>
      <x:c r="L2" s="141"/>
      <x:c r="M2" s="141"/>
      <x:c r="N2" s="141"/>
      <x:c r="O2" s="141"/>
      <x:c r="P2" s="141"/>
      <x:c r="Q2" s="141"/>
    </x:row>
    <x:row r="4">
      <x:c r="A4" s="153" t="str">
        <x:v>ID</x:v>
      </x:c>
      <x:c r="B4" s="154" t="str">
        <x:v>Brand</x:v>
      </x:c>
      <x:c r="C4" s="154" t="str">
        <x:v>Exact product</x:v>
      </x:c>
      <x:c r="D4" s="154" t="str">
        <x:v>Market</x:v>
      </x:c>
      <x:c r="E4" s="154" t="str">
        <x:v>Size ml</x:v>
      </x:c>
      <x:c r="F4" s="154" t="str">
        <x:v>Primary GTIN/EAN</x:v>
      </x:c>
      <x:c r="G4" s="154" t="str">
        <x:v>Alternate GTIN/EAN</x:v>
      </x:c>
      <x:c r="H4" s="154" t="str">
        <x:v>Capture date</x:v>
      </x:c>
      <x:c r="I4" s="154" t="str">
        <x:v>Identity status</x:v>
      </x:c>
      <x:c r="J4" s="154" t="str">
        <x:v>Calibration role</x:v>
      </x:c>
      <x:c r="K4" s="154" t="str">
        <x:v>Public claim summary</x:v>
      </x:c>
      <x:c r="L4" s="154" t="str">
        <x:v>Raw INCI</x:v>
      </x:c>
      <x:c r="M4" s="154" t="str">
        <x:v>Formula/source URL</x:v>
      </x:c>
      <x:c r="N4" s="154" t="str">
        <x:v>Identity/claim URL</x:v>
      </x:c>
      <x:c r="O4" s="154" t="str">
        <x:v>Source tier</x:v>
      </x:c>
      <x:c r="P4" s="154" t="str">
        <x:v>Conflict/uncertainty note</x:v>
      </x:c>
      <x:c r="Q4" s="155" t="str">
        <x:v>Formula fingerprint</x:v>
      </x:c>
    </x:row>
    <x:row r="5" ht="130" customHeight="1">
      <x:c r="A5" s="129" t="str">
        <x:v>P11</x:v>
      </x:c>
      <x:c r="B5" s="129" t="str">
        <x:v>Redken</x:v>
      </x:c>
      <x:c r="C5" s="129" t="str">
        <x:v>Acidic Bonding Concentrate Shampoo</x:v>
      </x:c>
      <x:c r="D5" s="129" t="str">
        <x:v>Germany</x:v>
      </x:c>
      <x:c r="E5" s="129" t="n">
        <x:v>300</x:v>
      </x:c>
      <x:c r="F5" s="169" t="n">
        <x:v>884486456281</x:v>
      </x:c>
      <x:c r="G5" s="129" t="str"/>
      <x:c r="H5" s="129" t="str">
        <x:v>2026-07-31</x:v>
      </x:c>
      <x:c r="I5" s="129" t="str">
        <x:v>High confidence</x:v>
      </x:c>
      <x:c r="J5" s="129" t="str">
        <x:v>Acid/bonding stress test: S2 gate, R3 cap, WT and R4 separation</x:v>
      </x:c>
      <x:c r="K5" s="129" t="str">
        <x:v>Official page describes an acidic-pH, citric-acid shampoo for damaged/colored hair, shine, split-end/frizz reduction, and directs use as a complete system with conditioner and leave-in.</x:v>
      </x:c>
      <x:c r="L5" s="129" t="str">
        <x:v>Aqua / Water / Eau, Decyl Glucoside, Sodium Cocoyl Isethionate, Cocamidopropyl Betaine, Citric Acid, Sodium Hydroxide, Panthenol, Glycerin, Dimethicone, PEG-150 Distearate, PPG-5-Ceteth-20, Sodium Benzoate, Sodium Chloride, PEG-55 Propylene Glycol Oleate, Propylene Glycol, Carbomer, Parfum / Fragrance, Coco-Caprylate/Caprate, Polyquaternium-67, Salicylic Acid, Amodimethicone, Sodium Phytate, Glycol Distearate, Coco-Betaine, Acrylates/Beheneth-25 Methacrylate Copolymer, Limonene, Trideceth-6</x:v>
      </x:c>
      <x:c r="M5" s="129" t="str">
        <x:v>https://www.redken.eu/de-de/produkte/haarpflege/acidic-bonding-concentrate/acidic-bonding-concentrate-shampoo</x:v>
      </x:c>
      <x:c r="N5" s="129" t="str">
        <x:v>https://www.vellyshop.de/Redken-Acidic-Bonding-Concentrate-Shampoo-300ml</x:v>
      </x:c>
      <x:c r="O5" s="129" t="str">
        <x:v>Official German formula/claims and official GTIN; German retailer cross-check</x:v>
      </x:c>
      <x:c r="P5" s="129" t="str">
        <x:v>No material formula/identity conflict found.</x:v>
      </x:c>
      <x:c r="Q5" s="45" t="str">
        <x:v>2d0e7e87bd9d825cb3da85d2fbc684cfcf029476c2a4858f7effba8830a50697</x:v>
      </x:c>
    </x:row>
    <x:row r="6" ht="130" customHeight="1">
      <x:c r="A6" s="129" t="str">
        <x:v>P12</x:v>
      </x:c>
      <x:c r="B6" s="129" t="str">
        <x:v>OGX</x:v>
      </x:c>
      <x:c r="C6" s="129" t="str">
        <x:v>Thick &amp; Full Biotin &amp; Collagen Shampoo</x:v>
      </x:c>
      <x:c r="D6" s="129" t="str">
        <x:v>Germany</x:v>
      </x:c>
      <x:c r="E6" s="129" t="n">
        <x:v>385</x:v>
      </x:c>
      <x:c r="F6" s="170" t="n">
        <x:v>3574661800202</x:v>
      </x:c>
      <x:c r="G6" s="129" t="str"/>
      <x:c r="H6" s="129" t="str">
        <x:v>2026-07-31</x:v>
      </x:c>
      <x:c r="I6" s="129" t="str">
        <x:v>High confidence</x:v>
      </x:c>
      <x:c r="J6" s="129" t="str">
        <x:v>Volume/bodying stress test: coherent network versus generic protein and acid over-scoring</x:v>
      </x:c>
      <x:c r="K6" s="129" t="str">
        <x:v>dm lists volume and fullness for fine/thin hair, up to 72 hours, with biotin, collagen and protein plus shine.</x:v>
      </x:c>
      <x:c r="L6" s="129" t="str">
        <x:v>Aqua/Water/Eau, Sodium Methyl Cocoyl Taurate, Decyl Glucoside, Cocamidopropyl Betaine, Sodium Chloride, Biotin, Hydrolyzed Collagen, Sodium Hydrolyzed Potato Starch Dodecenylsuccinate, Starch Hydroxypropyltrimonium Chloride, Amodimethicone, Coco-Glucoside, Glyceryl Oleate, Sodium Lactate, Lactic Acid, Urea, Hydrogenated Palm Glycerides Citrate, Coconut Acid, Disodium Tetrapropenyl Succinate, Lecithin, PEG-150 Distearate, Hexylene Glycol, Citric Acid, Sodium Hydroxide, Sodium Benzoate, Benzoic Acid, Tocopherol, Ascorbyl Palmitate, Parfum/Fragrance</x:v>
      </x:c>
      <x:c r="M6" s="129" t="str">
        <x:v>https://www.dm.de/p/d/1443641/ogx-shampoo-thick-und-full-biotin-und-collagen</x:v>
      </x:c>
      <x:c r="N6" s="129" t="str">
        <x:v>https://www.dm.de/p/d/1443641/ogx-shampoo-thick-und-full-biotin-und-collagen</x:v>
      </x:c>
      <x:c r="O6" s="129" t="str">
        <x:v>German major retailer exact GTIN, claims and current INCI</x:v>
      </x:c>
      <x:c r="P6" s="129" t="str">
        <x:v>No material source conflict found.</x:v>
      </x:c>
      <x:c r="Q6" s="45" t="str">
        <x:v>872361a73ebd388fe678634e2d3cd83fbd8eac93b2fadecc5b541aef4dba4a9e</x:v>
      </x:c>
    </x:row>
    <x:row r="7" ht="130" customHeight="1">
      <x:c r="A7" s="129" t="str">
        <x:v>P13</x:v>
      </x:c>
      <x:c r="B7" s="129" t="str">
        <x:v>Balea Professional</x:v>
      </x:c>
      <x:c r="C7" s="129" t="str">
        <x:v>Shampoo Tiefenreinigung</x:v>
      </x:c>
      <x:c r="D7" s="129" t="str">
        <x:v>Germany</x:v>
      </x:c>
      <x:c r="E7" s="129" t="n">
        <x:v>250</x:v>
      </x:c>
      <x:c r="F7" s="170" t="n">
        <x:v>4070765001020</x:v>
      </x:c>
      <x:c r="G7" s="129" t="str"/>
      <x:c r="H7" s="129" t="str">
        <x:v>2026-07-31</x:v>
      </x:c>
      <x:c r="I7" s="129" t="str">
        <x:v>High confidence</x:v>
      </x:c>
      <x:c r="J7" s="129" t="str">
        <x:v>Clarifying stress test: organic residue removal versus inorganic chelation and reset volume</x:v>
      </x:c>
      <x:c r="K7" s="129" t="str">
        <x:v>dm positions it for intensive removal of styling residue and excess oil, with lightness and restored shine; silicone-free and marketed for daily use.</x:v>
      </x:c>
      <x:c r="L7" s="129" t="str">
        <x:v>Aqua, Sodium Laureth Sulfate, Cocamidopropyl Betaine, Sodium Chloride, Glycerin, Hydrolyzed Keratin, Guar Hydroxypropyltrimonium Chloride, Zinc Sulfate, Menthol, Citric Acid, Parfum, Sodium Benzoate</x:v>
      </x:c>
      <x:c r="M7" s="129" t="str">
        <x:v>https://www.dm.de/p/d/1536339/balea-professional-shampoo-tiefenreinigung</x:v>
      </x:c>
      <x:c r="N7" s="129" t="str">
        <x:v>https://www.dm.de/p/d/1536339/balea-professional-shampoo-tiefenreinigung</x:v>
      </x:c>
      <x:c r="O7" s="129" t="str">
        <x:v>German major retailer exact GTIN, claims and current INCI</x:v>
      </x:c>
      <x:c r="P7" s="129" t="str">
        <x:v>No material source conflict found.</x:v>
      </x:c>
      <x:c r="Q7" s="45" t="str">
        <x:v>b50cf9b3e5b1329a0ceb8599283e630dd3290a790e7854d70f607ab75a77da13</x:v>
      </x:c>
    </x:row>
    <x:row r="8" ht="130" customHeight="1">
      <x:c r="A8" s="129" t="str">
        <x:v>P14</x:v>
      </x:c>
      <x:c r="B8" s="129" t="str">
        <x:v>Balea Professional</x:v>
      </x:c>
      <x:c r="C8" s="129" t="str">
        <x:v>Shampoo Oil Repair Intensiv</x:v>
      </x:c>
      <x:c r="D8" s="129" t="str">
        <x:v>Germany</x:v>
      </x:c>
      <x:c r="E8" s="129" t="n">
        <x:v>250</x:v>
      </x:c>
      <x:c r="F8" s="170" t="n">
        <x:v>4066447806786</x:v>
      </x:c>
      <x:c r="G8" s="170" t="n">
        <x:v>4070765001389</x:v>
      </x:c>
      <x:c r="H8" s="129" t="str">
        <x:v>2026-07-31</x:v>
      </x:c>
      <x:c r="I8" s="129" t="str">
        <x:v>Provisional — live/cached German source conflict</x:v>
      </x:c>
      <x:c r="J8" s="129" t="str">
        <x:v>Rinse-off oils/keratin stress test: WT and repair caps plus identity/version stop condition</x:v>
      </x:c>
      <x:c r="K8" s="129" t="str">
        <x:v>The current German page positions three oils and keratin for highly damaged/dry hair, up to 80% less breakage, split-end prevention, shine and silicone-free care.</x:v>
      </x:c>
      <x:c r="L8" s="129" t="str">
        <x:v>Aqua, Sodium Laureth Sulfate, Cocamidopropyl Betaine, Sodium Chloride, Argania Spinosa Kernel Oil, Orbignya Oleifera Seed Oil, Sclerocarya Birrea Seed Oil, Parfum, Glycerin, Propylene Glycol, Laureth-4, PEG-40 Hydrogenated Castor Oil, Glycol Distearate, PEG-4 Rapeseedamide, Disodium Cocoyl Glutamate, Sodium Cocoyl Glutamate, Guar Hydroxypropyltrimonium Chloride, Hydrolyzed Keratin, Sodium Benzoate, Potassium Sorbate, Benzoic Acid, Tetramethyl Acetyloctahydronaphthalenes, Citric Acid, Sodium Hydroxide</x:v>
      </x:c>
      <x:c r="M8" s="129" t="str">
        <x:v>https://www.dm.de/p/d/1703915/balea-professional-shampoo-oil-repair-intensiv</x:v>
      </x:c>
      <x:c r="N8" s="129" t="str">
        <x:v>https://www.dm.de/p/d/1703915/balea-professional-shampoo-oil-repair-intensiv</x:v>
      </x:c>
      <x:c r="O8" s="129" t="str">
        <x:v>German retailer live page plus recent cached version of the same URL</x:v>
      </x:c>
      <x:c r="P8" s="129" t="str">
        <x:v>During capture, the live German page showed GTIN 4066447806786 and omitted one antioxidant found in a recent cached German result showing GTIN 4070765001389. Classification is provisional and tied to the live formula above.</x:v>
      </x:c>
      <x:c r="Q8" s="45" t="str">
        <x:v>ff5efe35e28d59ef3c5f92b1377d1e80c9991a517b4fbf74ca9f42b6f253ff4b</x:v>
      </x:c>
    </x:row>
    <x:row r="9" ht="130" customHeight="1">
      <x:c r="A9" s="46" t="str">
        <x:v>P15</x:v>
      </x:c>
      <x:c r="B9" s="46" t="str">
        <x:v>L'Oréal Professionnel</x:v>
      </x:c>
      <x:c r="C9" s="46" t="str">
        <x:v>Serie Expert Metal DX Shampoo</x:v>
      </x:c>
      <x:c r="D9" s="46" t="str">
        <x:v>Germany</x:v>
      </x:c>
      <x:c r="E9" s="46" t="n">
        <x:v>300</x:v>
      </x:c>
      <x:c r="F9" s="171" t="n">
        <x:v>30163188</x:v>
      </x:c>
      <x:c r="G9" s="46" t="str"/>
      <x:c r="H9" s="46" t="str">
        <x:v>2026-07-31</x:v>
      </x:c>
      <x:c r="I9" s="46" t="str">
        <x:v>High identity confidence; active-to-INCI mapping partially opaque</x:v>
      </x:c>
      <x:c r="J9" s="46" t="str">
        <x:v>Proprietary metal-management stress test: IC, R4 and formula/evidence firewall</x:v>
      </x:c>
      <x:c r="K9" s="46" t="str">
        <x:v>Official German page describes patented Glicoamine for metal neutralization/removal and reports -98% breakage and 100× stronger hair after the Metal DX pre-shampoo + shampoo + mask system.</x:v>
      </x:c>
      <x:c r="L9" s="46" t="str">
        <x:v>Aqua / Water, Sodium Cocoyl Isethionate, Disodium Laureth Sulfosuccinate, Glycol Distearate, Sodium Lauryl Sulfoacetate, Sodium Lauroyl Sarcosinate, Glycerin, Parfum / Fragrance, PPG-5-Ceteth-20, Decyl Glucoside, Cocamidopropyl Betaine, Coco-Betaine, Divinyldimethicone/Dimethicone Copolymer, Amodimethicone, Citric Acid, Sodium Hydroxide, Polyquaternium-7, Polyquaternium-10, Carbomer, Sodium Benzoate, Sodium Chloride, Limonene, PEG-55 Propylene Glycol Oleate, Propylene Glycol, Salicylic Acid, Benzoic Acid, Polysorbate 21, Hexyl Cinnamal, Linalool, Trideceth-6, C12-13 Pareth-23, C12-13 Pareth-3, Citral, Geraniol, Glycine, Tocopherol, Cetrimonium Chloride, Phenoxyethanol</x:v>
      </x:c>
      <x:c r="M9" s="46" t="str">
        <x:v>https://de.lorealpartnershop.com/default/metal-dx-shampoo/DE30163188.html</x:v>
      </x:c>
      <x:c r="N9" s="46" t="str">
        <x:v>https://www.lorealprofessionnel.de/alle-produkte/haarpflege/metal-dx-shampoo</x:v>
      </x:c>
      <x:c r="O9" s="46" t="str">
        <x:v>Official German claims/test scope + official German partner-shop exact EAN and INCI</x:v>
      </x:c>
      <x:c r="P9" s="46" t="str">
        <x:v>Public exact-product positioning names Glicoamine, but the mapping from proprietary technology name to the public INCI is not fully transparent. Keep IC formula confidence moderate and evidence scope explicit.</x:v>
      </x:c>
      <x:c r="Q9" s="47" t="str">
        <x:v>027ada13b19b957596433b5c26200fa27a4a5b019ee3792af2f623dbf744d4ab</x:v>
      </x:c>
    </x:row>
  </x:sheetData>
  <x:mergeCells>
    <x:mergeCell ref="A1:Q1"/>
    <x:mergeCell ref="A2:Q2"/>
  </x:mergeCells>
  <x:pageMargins left="0.7" right="0.7" top="0.75" bottom="0.75" header="0.3" footer="0.3"/>
</x:worksheet>
</file>

<file path=xl/worksheets/sheet12.xml><?xml version="1.0" encoding="utf-8"?>
<x:worksheet xmlns:x="http://schemas.openxmlformats.org/spreadsheetml/2006/main">
  <x:sheetFormatPr defaultRowHeight="15"/>
  <x:cols>
    <x:col min="1" max="1" width="7" hidden="0" customWidth="1"/>
    <x:col min="2" max="2" width="38"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11" hidden="0" customWidth="1"/>
    <x:col min="21" max="21" width="48" hidden="0" customWidth="1"/>
    <x:col min="22" max="22" width="24" hidden="0" customWidth="1"/>
    <x:col min="23" max="23" width="74" hidden="0" customWidth="1"/>
    <x:col min="24" max="24" width="34" hidden="0" customWidth="1"/>
    <x:col min="25" max="25" width="66" hidden="0" customWidth="1"/>
  </x:cols>
  <x:sheetData>
    <x:row r="1" ht="34" customHeight="1">
      <x:c r="A1" s="137" t="str">
        <x:v>Adjudicated five-product key — tightened v1.2</x:v>
      </x:c>
      <x:c r="B1" s="137"/>
      <x:c r="C1" s="137"/>
      <x:c r="D1" s="137"/>
      <x:c r="E1" s="137"/>
      <x:c r="F1" s="137"/>
      <x:c r="G1" s="137"/>
      <x:c r="H1" s="137"/>
      <x:c r="I1" s="137"/>
      <x:c r="J1" s="137"/>
      <x:c r="K1" s="137"/>
      <x:c r="L1" s="137"/>
      <x:c r="M1" s="137"/>
      <x:c r="N1" s="137"/>
      <x:c r="O1" s="137"/>
      <x:c r="P1" s="137"/>
      <x:c r="Q1" s="137"/>
      <x:c r="R1" s="137"/>
      <x:c r="S1" s="137"/>
      <x:c r="T1" s="137"/>
      <x:c r="U1" s="137"/>
      <x:c r="V1" s="137"/>
      <x:c r="W1" s="137"/>
      <x:c r="X1" s="137"/>
      <x:c r="Y1" s="137"/>
      <x:c r="Z1" s="137"/>
    </x:row>
    <x:row r="2" ht="32" customHeight="1">
      <x:c r="A2" s="141" t="str">
        <x:v>Formula scores are 0–4 and remain separate from evidence. Every score of 2+ must pass G1–G3 and all route-specific caps.</x:v>
      </x:c>
      <x:c r="B2" s="141"/>
      <x:c r="C2" s="141"/>
      <x:c r="D2" s="141"/>
      <x:c r="E2" s="141"/>
      <x:c r="F2" s="141"/>
      <x:c r="G2" s="141"/>
      <x:c r="H2" s="141"/>
      <x:c r="I2" s="141"/>
      <x:c r="J2" s="141"/>
      <x:c r="K2" s="141"/>
      <x:c r="L2" s="141"/>
      <x:c r="M2" s="141"/>
      <x:c r="N2" s="141"/>
      <x:c r="O2" s="141"/>
      <x:c r="P2" s="141"/>
      <x:c r="Q2" s="141"/>
      <x:c r="R2" s="141"/>
      <x:c r="S2" s="141"/>
      <x:c r="T2" s="141"/>
      <x:c r="U2" s="141"/>
      <x:c r="V2" s="141"/>
      <x:c r="W2" s="141"/>
      <x:c r="X2" s="141"/>
      <x:c r="Y2" s="141"/>
      <x:c r="Z2" s="141"/>
    </x:row>
    <x:row r="4">
      <x:c r="C4" s="173" t="str">
        <x:v>Core architecture</x:v>
      </x:c>
      <x:c r="D4" s="173"/>
      <x:c r="E4" s="173"/>
      <x:c r="F4" s="173" t="str">
        <x:v>Shine routes</x:v>
      </x:c>
      <x:c r="G4" s="173"/>
      <x:c r="H4" s="173"/>
      <x:c r="I4" s="173"/>
      <x:c r="J4" s="173" t="str">
        <x:v>Volume routes</x:v>
      </x:c>
      <x:c r="K4" s="173"/>
      <x:c r="L4" s="173"/>
      <x:c r="M4" s="173" t="str">
        <x:v>Repair routes</x:v>
      </x:c>
      <x:c r="N4" s="173"/>
      <x:c r="O4" s="173"/>
      <x:c r="P4" s="173"/>
      <x:c r="Q4" s="173" t="str">
        <x:v>Clarification + mildness</x:v>
      </x:c>
      <x:c r="R4" s="173"/>
      <x:c r="S4" s="173"/>
    </x:row>
    <x:row r="5">
      <x:c r="A5" s="153" t="str">
        <x:v>ID</x:v>
      </x:c>
      <x:c r="B5" s="154" t="str">
        <x:v>Product</x:v>
      </x:c>
      <x:c r="C5" s="154" t="str">
        <x:v>CLN</x:v>
      </x:c>
      <x:c r="D5" s="154" t="str">
        <x:v>COND</x:v>
      </x:c>
      <x:c r="E5" s="154" t="str">
        <x:v>WT</x:v>
      </x:c>
      <x:c r="F5" s="154" t="str">
        <x:v>S1</x:v>
      </x:c>
      <x:c r="G5" s="154" t="str">
        <x:v>S2</x:v>
      </x:c>
      <x:c r="H5" s="154" t="str">
        <x:v>S3</x:v>
      </x:c>
      <x:c r="I5" s="154" t="str">
        <x:v>S4</x:v>
      </x:c>
      <x:c r="J5" s="154" t="str">
        <x:v>V1</x:v>
      </x:c>
      <x:c r="K5" s="154" t="str">
        <x:v>V2</x:v>
      </x:c>
      <x:c r="L5" s="154" t="str">
        <x:v>V3</x:v>
      </x:c>
      <x:c r="M5" s="154" t="str">
        <x:v>R1</x:v>
      </x:c>
      <x:c r="N5" s="154" t="str">
        <x:v>R2</x:v>
      </x:c>
      <x:c r="O5" s="154" t="str">
        <x:v>R3</x:v>
      </x:c>
      <x:c r="P5" s="154" t="str">
        <x:v>R4</x:v>
      </x:c>
      <x:c r="Q5" s="154" t="str">
        <x:v>OC</x:v>
      </x:c>
      <x:c r="R5" s="154" t="str">
        <x:v>IC</x:v>
      </x:c>
      <x:c r="S5" s="154" t="str">
        <x:v>MILD</x:v>
      </x:c>
      <x:c r="T5" s="154" t="str">
        <x:v>Evidence</x:v>
      </x:c>
      <x:c r="U5" s="154" t="str">
        <x:v>Evidence scope</x:v>
      </x:c>
      <x:c r="V5" s="154" t="str">
        <x:v>Claim audit</x:v>
      </x:c>
      <x:c r="W5" s="154" t="str">
        <x:v>Gate rationale</x:v>
      </x:c>
      <x:c r="X5" s="154" t="str">
        <x:v>WT subjudgments</x:v>
      </x:c>
      <x:c r="Y5" s="155" t="str">
        <x:v>Final verdict</x:v>
      </x:c>
    </x:row>
    <x:row r="6" ht="120" customHeight="1">
      <x:c r="A6" s="129" t="str">
        <x:v>P11</x:v>
      </x:c>
      <x:c r="B6" s="129" t="str">
        <x:v>Redken — Acidic Bonding Concentrate Shampoo</x:v>
      </x:c>
      <x:c r="C6" s="129" t="n">
        <x:v>2</x:v>
      </x:c>
      <x:c r="D6" s="129" t="n">
        <x:v>3</x:v>
      </x:c>
      <x:c r="E6" s="129" t="n">
        <x:v>2</x:v>
      </x:c>
      <x:c r="F6" s="129" t="n">
        <x:v>3</x:v>
      </x:c>
      <x:c r="G6" s="129" t="n">
        <x:v>3</x:v>
      </x:c>
      <x:c r="H6" s="129" t="n">
        <x:v>1</x:v>
      </x:c>
      <x:c r="I6" s="129" t="n">
        <x:v>0</x:v>
      </x:c>
      <x:c r="J6" s="129" t="n">
        <x:v>1</x:v>
      </x:c>
      <x:c r="K6" s="129" t="n">
        <x:v>1</x:v>
      </x:c>
      <x:c r="L6" s="129" t="n">
        <x:v>0</x:v>
      </x:c>
      <x:c r="M6" s="129" t="n">
        <x:v>3</x:v>
      </x:c>
      <x:c r="N6" s="129" t="n">
        <x:v>1</x:v>
      </x:c>
      <x:c r="O6" s="129" t="n">
        <x:v>1</x:v>
      </x:c>
      <x:c r="P6" s="129" t="n">
        <x:v>2</x:v>
      </x:c>
      <x:c r="Q6" s="129" t="n">
        <x:v>1</x:v>
      </x:c>
      <x:c r="R6" s="129" t="n">
        <x:v>1</x:v>
      </x:c>
      <x:c r="S6" s="129" t="n">
        <x:v>3</x:v>
      </x:c>
      <x:c r="T6" s="129" t="str">
        <x:v>E2</x:v>
      </x:c>
      <x:c r="U6" s="129" t="str">
        <x:v>Exact shampoo formula and official complete-system directions; no public shampoo-alone magnitude test used.</x:v>
      </x:c>
      <x:c r="V6" s="129" t="str">
        <x:v>Partially supported</x:v>
      </x:c>
      <x:c r="W6" s="129" t="str">
        <x:v>S2 3 passes G1–G3: Citric Acid is fifth and official positioning states acidic pH. R3 stays 1 because 'bonding' plus acid is not a mapped bond-specific technology. R4 2 names damaged/colored-hair stress and an acid/conditioning protection route.</x:v>
      </x:c>
      <x:c r="X6" s="129" t="str">
        <x:v>Deposition 2; persistence 2; reset 2 → WT 2.</x:v>
      </x:c>
      <x:c r="Y6" s="45" t="str">
        <x:v>A genuinely acidic, strongly conditioning shine/repair shampoo; the most defensible immediate mechanisms are acid management plus silicone/cationic deposition, not a high-confidence bond-specific route.</x:v>
      </x:c>
    </x:row>
    <x:row r="7" ht="120" customHeight="1">
      <x:c r="A7" s="129" t="str">
        <x:v>P12</x:v>
      </x:c>
      <x:c r="B7" s="129" t="str">
        <x:v>OGX — Thick &amp; Full Biotin &amp; Collagen Shampoo</x:v>
      </x:c>
      <x:c r="C7" s="129" t="n">
        <x:v>2</x:v>
      </x:c>
      <x:c r="D7" s="129" t="n">
        <x:v>3</x:v>
      </x:c>
      <x:c r="E7" s="129" t="n">
        <x:v>2</x:v>
      </x:c>
      <x:c r="F7" s="129" t="n">
        <x:v>3</x:v>
      </x:c>
      <x:c r="G7" s="129" t="n">
        <x:v>1</x:v>
      </x:c>
      <x:c r="H7" s="129" t="n">
        <x:v>1</x:v>
      </x:c>
      <x:c r="I7" s="129" t="n">
        <x:v>0</x:v>
      </x:c>
      <x:c r="J7" s="129" t="n">
        <x:v>2</x:v>
      </x:c>
      <x:c r="K7" s="129" t="n">
        <x:v>3</x:v>
      </x:c>
      <x:c r="L7" s="129" t="n">
        <x:v>0</x:v>
      </x:c>
      <x:c r="M7" s="129" t="n">
        <x:v>3</x:v>
      </x:c>
      <x:c r="N7" s="129" t="n">
        <x:v>2</x:v>
      </x:c>
      <x:c r="O7" s="129" t="n">
        <x:v>0</x:v>
      </x:c>
      <x:c r="P7" s="129" t="n">
        <x:v>1</x:v>
      </x:c>
      <x:c r="Q7" s="129" t="n">
        <x:v>1</x:v>
      </x:c>
      <x:c r="R7" s="129" t="n">
        <x:v>0</x:v>
      </x:c>
      <x:c r="S7" s="129" t="n">
        <x:v>3</x:v>
      </x:c>
      <x:c r="T7" s="129" t="str">
        <x:v>E2</x:v>
      </x:c>
      <x:c r="U7" s="129" t="str">
        <x:v>Exact formula and claims; public 72-hour magnitude lacks disclosed test details on the page.</x:v>
      </x:c>
      <x:c r="V7" s="129" t="str">
        <x:v>Partially supported</x:v>
      </x:c>
      <x:c r="W7" s="129" t="str">
        <x:v>V2 3 passes because collagen + modified potato starch + cationic starch create a coherent bodying/deposition network. R2 is capped at 2 because bodying and patching are not identical endpoints. Lactic/Citric Acid alone keep S2 at 1; biotin creates no volume or bond score.</x:v>
      </x:c>
      <x:c r="X7" s="129" t="str">
        <x:v>Deposition 3; persistence 2; reset 2 → WT 2.</x:v>
      </x:c>
      <x:c r="Y7" s="45" t="str">
        <x:v>A credible bodying-volume shampoo with meaningful conditioning; its volume rationale is the multi-ingredient protein/starch network, not biotin or the mere presence of acids.</x:v>
      </x:c>
    </x:row>
    <x:row r="8" ht="120" customHeight="1">
      <x:c r="A8" s="129" t="str">
        <x:v>P13</x:v>
      </x:c>
      <x:c r="B8" s="129" t="str">
        <x:v>Balea Professional — Shampoo Tiefenreinigung</x:v>
      </x:c>
      <x:c r="C8" s="129" t="n">
        <x:v>3</x:v>
      </x:c>
      <x:c r="D8" s="129" t="n">
        <x:v>1</x:v>
      </x:c>
      <x:c r="E8" s="129" t="n">
        <x:v>1</x:v>
      </x:c>
      <x:c r="F8" s="129" t="n">
        <x:v>1</x:v>
      </x:c>
      <x:c r="G8" s="129" t="n">
        <x:v>0</x:v>
      </x:c>
      <x:c r="H8" s="129" t="n">
        <x:v>3</x:v>
      </x:c>
      <x:c r="I8" s="129" t="n">
        <x:v>0</x:v>
      </x:c>
      <x:c r="J8" s="129" t="n">
        <x:v>3</x:v>
      </x:c>
      <x:c r="K8" s="129" t="n">
        <x:v>1</x:v>
      </x:c>
      <x:c r="L8" s="129" t="n">
        <x:v>3</x:v>
      </x:c>
      <x:c r="M8" s="129" t="n">
        <x:v>1</x:v>
      </x:c>
      <x:c r="N8" s="129" t="n">
        <x:v>1</x:v>
      </x:c>
      <x:c r="O8" s="129" t="n">
        <x:v>0</x:v>
      </x:c>
      <x:c r="P8" s="129" t="n">
        <x:v>0</x:v>
      </x:c>
      <x:c r="Q8" s="129" t="n">
        <x:v>3</x:v>
      </x:c>
      <x:c r="R8" s="129" t="n">
        <x:v>0</x:v>
      </x:c>
      <x:c r="S8" s="129" t="n">
        <x:v>2</x:v>
      </x:c>
      <x:c r="T8" s="129" t="str">
        <x:v>E2</x:v>
      </x:c>
      <x:c r="U8" s="129" t="str">
        <x:v>Exact German formula and claim set; no finished-product removal percentages disclosed.</x:v>
      </x:c>
      <x:c r="V8" s="129" t="str">
        <x:v>Supported for organic clarification</x:v>
      </x:c>
      <x:c r="W8" s="129" t="str">
        <x:v>OC 3 and S3/V3 3 pass through purposeful SLES-led residue/oil removal and low weight. IC remains 0 because no recognizable chelating system is present. Hydrolyzed Keratin alone is capped at V2/R2 1.</x:v>
      </x:c>
      <x:c r="X8" s="129" t="str">
        <x:v>Deposition 1; persistence 1; reset 4 → WT 1.</x:v>
      </x:c>
      <x:c r="Y8" s="45" t="str">
        <x:v>A true organic-residue reset shampoo that can restore lightness and apparent shine, but it is not a hard-water or metal-chelating treatment.</x:v>
      </x:c>
    </x:row>
    <x:row r="9" ht="120" customHeight="1">
      <x:c r="A9" s="129" t="str">
        <x:v>P14</x:v>
      </x:c>
      <x:c r="B9" s="129" t="str">
        <x:v>Balea Professional — Shampoo Oil Repair Intensiv</x:v>
      </x:c>
      <x:c r="C9" s="129" t="n">
        <x:v>3</x:v>
      </x:c>
      <x:c r="D9" s="129" t="n">
        <x:v>2</x:v>
      </x:c>
      <x:c r="E9" s="129" t="n">
        <x:v>2</x:v>
      </x:c>
      <x:c r="F9" s="129" t="n">
        <x:v>2</x:v>
      </x:c>
      <x:c r="G9" s="129" t="n">
        <x:v>0</x:v>
      </x:c>
      <x:c r="H9" s="129" t="n">
        <x:v>1</x:v>
      </x:c>
      <x:c r="I9" s="129" t="n">
        <x:v>0</x:v>
      </x:c>
      <x:c r="J9" s="129" t="n">
        <x:v>1</x:v>
      </x:c>
      <x:c r="K9" s="129" t="n">
        <x:v>1</x:v>
      </x:c>
      <x:c r="L9" s="129" t="n">
        <x:v>0</x:v>
      </x:c>
      <x:c r="M9" s="129" t="n">
        <x:v>2</x:v>
      </x:c>
      <x:c r="N9" s="129" t="n">
        <x:v>1</x:v>
      </x:c>
      <x:c r="O9" s="129" t="n">
        <x:v>0</x:v>
      </x:c>
      <x:c r="P9" s="129" t="n">
        <x:v>1</x:v>
      </x:c>
      <x:c r="Q9" s="129" t="n">
        <x:v>1</x:v>
      </x:c>
      <x:c r="R9" s="129" t="n">
        <x:v>0</x:v>
      </x:c>
      <x:c r="S9" s="129" t="n">
        <x:v>2</x:v>
      </x:c>
      <x:c r="T9" s="129" t="str">
        <x:v>E2</x:v>
      </x:c>
      <x:c r="U9" s="129" t="str">
        <x:v>Live German formula/claims only; exact identity remains provisional because the same URL recently exposed a second GTIN/version.</x:v>
      </x:c>
      <x:c r="V9" s="129" t="str">
        <x:v>Partially supported; provisional identity</x:v>
      </x:c>
      <x:c r="W9" s="129" t="str">
        <x:v>Early oils pass G1 for lubrication but G2 is moderated by a surfactant-rich rinse-off architecture and limited deposition support. WT is 2, not 3–4. One later Hydrolyzed Keratin is capped at R2 1 and R3 0. R4 1 because the 80% magnitude and exact prevention mechanism are not established from the formula.</x:v>
      </x:c>
      <x:c r="X9" s="129" t="str">
        <x:v>Deposition 2; persistence 1; reset 3 → WT 2.</x:v>
      </x:c>
      <x:c r="Y9" s="45" t="str">
        <x:v>A moderately caring oil/guar shampoo, not an intensely depositing repair system; the record must remain tied to the captured live GTIN/formula until the version conflict is resolved.</x:v>
      </x:c>
    </x:row>
    <x:row r="10" ht="120" customHeight="1">
      <x:c r="A10" s="46" t="str">
        <x:v>P15</x:v>
      </x:c>
      <x:c r="B10" s="46" t="str">
        <x:v>L'Oréal Professionnel — Serie Expert Metal DX Shampoo</x:v>
      </x:c>
      <x:c r="C10" s="46" t="n">
        <x:v>3</x:v>
      </x:c>
      <x:c r="D10" s="46" t="n">
        <x:v>3</x:v>
      </x:c>
      <x:c r="E10" s="46" t="n">
        <x:v>2</x:v>
      </x:c>
      <x:c r="F10" s="46" t="n">
        <x:v>3</x:v>
      </x:c>
      <x:c r="G10" s="46" t="n">
        <x:v>1</x:v>
      </x:c>
      <x:c r="H10" s="46" t="n">
        <x:v>3</x:v>
      </x:c>
      <x:c r="I10" s="46" t="n">
        <x:v>0</x:v>
      </x:c>
      <x:c r="J10" s="46" t="n">
        <x:v>2</x:v>
      </x:c>
      <x:c r="K10" s="46" t="n">
        <x:v>1</x:v>
      </x:c>
      <x:c r="L10" s="46" t="n">
        <x:v>2</x:v>
      </x:c>
      <x:c r="M10" s="46" t="n">
        <x:v>3</x:v>
      </x:c>
      <x:c r="N10" s="46" t="n">
        <x:v>1</x:v>
      </x:c>
      <x:c r="O10" s="46" t="n">
        <x:v>0</x:v>
      </x:c>
      <x:c r="P10" s="46" t="n">
        <x:v>3</x:v>
      </x:c>
      <x:c r="Q10" s="46" t="n">
        <x:v>2</x:v>
      </x:c>
      <x:c r="R10" s="46" t="n">
        <x:v>2</x:v>
      </x:c>
      <x:c r="S10" s="46" t="n">
        <x:v>3</x:v>
      </x:c>
      <x:c r="T10" s="46" t="str">
        <x:v>E4</x:v>
      </x:c>
      <x:c r="U10" s="46" t="str">
        <x:v>Instrumental results apply to Metal DX pre-shampoo + shampoo + mask, not shampoo alone.</x:v>
      </x:c>
      <x:c r="V10" s="46" t="str">
        <x:v>Partially supported with strong scope qualification</x:v>
      </x:c>
      <x:c r="W10" s="46" t="str">
        <x:v>S3 3 and R4 3 name the metal stressor and Glicoamine neutralization route. IC 2 reflects exact-product official technology mapping but moderate formula confidence because the public INCI mapping is opaque. The multi-product test raises evidence, not formula scores.</x:v>
      </x:c>
      <x:c r="X10" s="46" t="str">
        <x:v>Deposition 3; persistence 2; reset 3 → WT 2.</x:v>
      </x:c>
      <x:c r="Y10" s="47" t="str">
        <x:v>A conditioning anti-metal shampoo with a credible targeted prevention rationale; the dramatic breakage/strength numbers belong to the complete Metal DX system, not this shampoo by itself.</x:v>
      </x:c>
    </x:row>
  </x:sheetData>
  <x:mergeCells>
    <x:mergeCell ref="A1:Z1"/>
    <x:mergeCell ref="A2:Z2"/>
    <x:mergeCell ref="C4:E4"/>
    <x:mergeCell ref="F4:I4"/>
    <x:mergeCell ref="J4:L4"/>
    <x:mergeCell ref="M4:P4"/>
    <x:mergeCell ref="Q4:S4"/>
  </x:mergeCells>
  <x:conditionalFormatting sqref="C6:S10">
    <x:cfRule type="colorScale" priority="1">
      <x:colorScale>
        <x:cfvo type="min"/>
        <x:cfvo type="percentile" val="50"/>
        <x:cfvo type="max"/>
        <x:color rgb="FFF7F7F7"/>
        <x:color rgb="FFF3E7BD"/>
        <x:color rgb="FF7AC8BC"/>
      </x:colorScale>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7" hidden="0" customWidth="1"/>
    <x:col min="2" max="2" width="38"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32" hidden="0" customWidth="1"/>
    <x:col min="21" max="21" width="72" hidden="0" customWidth="1"/>
  </x:cols>
  <x:sheetData>
    <x:row r="1" ht="34" customHeight="1">
      <x:c r="A1" s="137" t="str">
        <x:v>Deterministic rule pass — tightened v1.2</x:v>
      </x:c>
      <x:c r="B1" s="137"/>
      <x:c r="C1" s="137"/>
      <x:c r="D1" s="137"/>
      <x:c r="E1" s="137"/>
      <x:c r="F1" s="137"/>
      <x:c r="G1" s="137"/>
      <x:c r="H1" s="137"/>
      <x:c r="I1" s="137"/>
      <x:c r="J1" s="137"/>
      <x:c r="K1" s="137"/>
      <x:c r="L1" s="137"/>
      <x:c r="M1" s="137"/>
      <x:c r="N1" s="137"/>
      <x:c r="O1" s="137"/>
      <x:c r="P1" s="137"/>
      <x:c r="Q1" s="137"/>
      <x:c r="R1" s="137"/>
      <x:c r="S1" s="137"/>
      <x:c r="T1" s="137"/>
      <x:c r="U1" s="137"/>
    </x:row>
    <x:row r="2" ht="32" customHeight="1">
      <x:c r="A2" s="141" t="str">
        <x:v>Formula scores are 0–4 and remain separate from evidence. Every score of 2+ must pass G1–G3 and all route-specific caps.</x:v>
      </x:c>
      <x:c r="B2" s="141"/>
      <x:c r="C2" s="141"/>
      <x:c r="D2" s="141"/>
      <x:c r="E2" s="141"/>
      <x:c r="F2" s="141"/>
      <x:c r="G2" s="141"/>
      <x:c r="H2" s="141"/>
      <x:c r="I2" s="141"/>
      <x:c r="J2" s="141"/>
      <x:c r="K2" s="141"/>
      <x:c r="L2" s="141"/>
      <x:c r="M2" s="141"/>
      <x:c r="N2" s="141"/>
      <x:c r="O2" s="141"/>
      <x:c r="P2" s="141"/>
      <x:c r="Q2" s="141"/>
      <x:c r="R2" s="141"/>
      <x:c r="S2" s="141"/>
      <x:c r="T2" s="141"/>
      <x:c r="U2" s="141"/>
    </x:row>
    <x:row r="4">
      <x:c r="C4" s="173" t="str">
        <x:v>Core architecture</x:v>
      </x:c>
      <x:c r="D4" s="173"/>
      <x:c r="E4" s="173"/>
      <x:c r="F4" s="173" t="str">
        <x:v>Shine routes</x:v>
      </x:c>
      <x:c r="G4" s="173"/>
      <x:c r="H4" s="173"/>
      <x:c r="I4" s="173"/>
      <x:c r="J4" s="173" t="str">
        <x:v>Volume routes</x:v>
      </x:c>
      <x:c r="K4" s="173"/>
      <x:c r="L4" s="173"/>
      <x:c r="M4" s="173" t="str">
        <x:v>Repair routes</x:v>
      </x:c>
      <x:c r="N4" s="173"/>
      <x:c r="O4" s="173"/>
      <x:c r="P4" s="173"/>
      <x:c r="Q4" s="173" t="str">
        <x:v>Clarification + mildness</x:v>
      </x:c>
      <x:c r="R4" s="173"/>
      <x:c r="S4" s="173"/>
    </x:row>
    <x:row r="5">
      <x:c r="A5" s="153" t="str">
        <x:v>ID</x:v>
      </x:c>
      <x:c r="B5" s="154" t="str">
        <x:v>Product</x:v>
      </x:c>
      <x:c r="C5" s="154" t="str">
        <x:v>CLN</x:v>
      </x:c>
      <x:c r="D5" s="154" t="str">
        <x:v>COND</x:v>
      </x:c>
      <x:c r="E5" s="154" t="str">
        <x:v>WT</x:v>
      </x:c>
      <x:c r="F5" s="154" t="str">
        <x:v>S1</x:v>
      </x:c>
      <x:c r="G5" s="154" t="str">
        <x:v>S2</x:v>
      </x:c>
      <x:c r="H5" s="154" t="str">
        <x:v>S3</x:v>
      </x:c>
      <x:c r="I5" s="154" t="str">
        <x:v>S4</x:v>
      </x:c>
      <x:c r="J5" s="154" t="str">
        <x:v>V1</x:v>
      </x:c>
      <x:c r="K5" s="154" t="str">
        <x:v>V2</x:v>
      </x:c>
      <x:c r="L5" s="154" t="str">
        <x:v>V3</x:v>
      </x:c>
      <x:c r="M5" s="154" t="str">
        <x:v>R1</x:v>
      </x:c>
      <x:c r="N5" s="154" t="str">
        <x:v>R2</x:v>
      </x:c>
      <x:c r="O5" s="154" t="str">
        <x:v>R3</x:v>
      </x:c>
      <x:c r="P5" s="154" t="str">
        <x:v>R4</x:v>
      </x:c>
      <x:c r="Q5" s="154" t="str">
        <x:v>OC</x:v>
      </x:c>
      <x:c r="R5" s="154" t="str">
        <x:v>IC</x:v>
      </x:c>
      <x:c r="S5" s="154" t="str">
        <x:v>MILD</x:v>
      </x:c>
      <x:c r="T5" s="154" t="str">
        <x:v>Method</x:v>
      </x:c>
      <x:c r="U5" s="155" t="str">
        <x:v>Known ambiguity</x:v>
      </x:c>
    </x:row>
    <x:row r="6" ht="88" customHeight="1">
      <x:c r="A6" s="129" t="str">
        <x:v>P11</x:v>
      </x:c>
      <x:c r="B6" s="129" t="str">
        <x:v>Redken — Acidic Bonding Concentrate Shampoo</x:v>
      </x:c>
      <x:c r="C6" s="129" t="n">
        <x:v>2</x:v>
      </x:c>
      <x:c r="D6" s="129" t="n">
        <x:v>3</x:v>
      </x:c>
      <x:c r="E6" s="129" t="n">
        <x:v>2</x:v>
      </x:c>
      <x:c r="F6" s="129" t="n">
        <x:v>3</x:v>
      </x:c>
      <x:c r="G6" s="129" t="n">
        <x:v>3</x:v>
      </x:c>
      <x:c r="H6" s="129" t="n">
        <x:v>1</x:v>
      </x:c>
      <x:c r="I6" s="129" t="n">
        <x:v>0</x:v>
      </x:c>
      <x:c r="J6" s="129" t="n">
        <x:v>1</x:v>
      </x:c>
      <x:c r="K6" s="129" t="n">
        <x:v>1</x:v>
      </x:c>
      <x:c r="L6" s="129" t="n">
        <x:v>0</x:v>
      </x:c>
      <x:c r="M6" s="129" t="n">
        <x:v>3</x:v>
      </x:c>
      <x:c r="N6" s="129" t="n">
        <x:v>1</x:v>
      </x:c>
      <x:c r="O6" s="129" t="n">
        <x:v>0</x:v>
      </x:c>
      <x:c r="P6" s="129" t="n">
        <x:v>2</x:v>
      </x:c>
      <x:c r="Q6" s="129" t="n">
        <x:v>1</x:v>
      </x:c>
      <x:c r="R6" s="129" t="n">
        <x:v>1</x:v>
      </x:c>
      <x:c r="S6" s="129" t="n">
        <x:v>3</x:v>
      </x:c>
      <x:c r="T6" s="129" t="str">
        <x:v>Tightened deterministic rules v1.2</x:v>
      </x:c>
      <x:c r="U6" s="45" t="str">
        <x:v>R3 was conservatively scored 0 because the rule pass refused to map 'bonding' + acid to a bond-specific route.</x:v>
      </x:c>
    </x:row>
    <x:row r="7" ht="88" customHeight="1">
      <x:c r="A7" s="129" t="str">
        <x:v>P12</x:v>
      </x:c>
      <x:c r="B7" s="129" t="str">
        <x:v>OGX — Thick &amp; Full Biotin &amp; Collagen Shampoo</x:v>
      </x:c>
      <x:c r="C7" s="129" t="n">
        <x:v>2</x:v>
      </x:c>
      <x:c r="D7" s="129" t="n">
        <x:v>3</x:v>
      </x:c>
      <x:c r="E7" s="129" t="n">
        <x:v>2</x:v>
      </x:c>
      <x:c r="F7" s="129" t="n">
        <x:v>3</x:v>
      </x:c>
      <x:c r="G7" s="129" t="n">
        <x:v>1</x:v>
      </x:c>
      <x:c r="H7" s="129" t="n">
        <x:v>1</x:v>
      </x:c>
      <x:c r="I7" s="129" t="n">
        <x:v>0</x:v>
      </x:c>
      <x:c r="J7" s="129" t="n">
        <x:v>2</x:v>
      </x:c>
      <x:c r="K7" s="129" t="n">
        <x:v>3</x:v>
      </x:c>
      <x:c r="L7" s="129" t="n">
        <x:v>0</x:v>
      </x:c>
      <x:c r="M7" s="129" t="n">
        <x:v>3</x:v>
      </x:c>
      <x:c r="N7" s="129" t="n">
        <x:v>3</x:v>
      </x:c>
      <x:c r="O7" s="129" t="n">
        <x:v>0</x:v>
      </x:c>
      <x:c r="P7" s="129" t="n">
        <x:v>1</x:v>
      </x:c>
      <x:c r="Q7" s="129" t="n">
        <x:v>1</x:v>
      </x:c>
      <x:c r="R7" s="129" t="n">
        <x:v>0</x:v>
      </x:c>
      <x:c r="S7" s="129" t="n">
        <x:v>3</x:v>
      </x:c>
      <x:c r="T7" s="129" t="str">
        <x:v>Tightened deterministic rules v1.2</x:v>
      </x:c>
      <x:c r="U7" s="45" t="str">
        <x:v>R2 was scored 3 because the rule pass over-transferred a coherent bodying network into repair-film strength.</x:v>
      </x:c>
    </x:row>
    <x:row r="8" ht="88" customHeight="1">
      <x:c r="A8" s="129" t="str">
        <x:v>P13</x:v>
      </x:c>
      <x:c r="B8" s="129" t="str">
        <x:v>Balea Professional — Shampoo Tiefenreinigung</x:v>
      </x:c>
      <x:c r="C8" s="129" t="n">
        <x:v>3</x:v>
      </x:c>
      <x:c r="D8" s="129" t="n">
        <x:v>1</x:v>
      </x:c>
      <x:c r="E8" s="129" t="n">
        <x:v>1</x:v>
      </x:c>
      <x:c r="F8" s="129" t="n">
        <x:v>1</x:v>
      </x:c>
      <x:c r="G8" s="129" t="n">
        <x:v>0</x:v>
      </x:c>
      <x:c r="H8" s="129" t="n">
        <x:v>3</x:v>
      </x:c>
      <x:c r="I8" s="129" t="n">
        <x:v>0</x:v>
      </x:c>
      <x:c r="J8" s="129" t="n">
        <x:v>3</x:v>
      </x:c>
      <x:c r="K8" s="129" t="n">
        <x:v>1</x:v>
      </x:c>
      <x:c r="L8" s="129" t="n">
        <x:v>3</x:v>
      </x:c>
      <x:c r="M8" s="129" t="n">
        <x:v>1</x:v>
      </x:c>
      <x:c r="N8" s="129" t="n">
        <x:v>1</x:v>
      </x:c>
      <x:c r="O8" s="129" t="n">
        <x:v>0</x:v>
      </x:c>
      <x:c r="P8" s="129" t="n">
        <x:v>0</x:v>
      </x:c>
      <x:c r="Q8" s="129" t="n">
        <x:v>3</x:v>
      </x:c>
      <x:c r="R8" s="129" t="n">
        <x:v>0</x:v>
      </x:c>
      <x:c r="S8" s="129" t="n">
        <x:v>2</x:v>
      </x:c>
      <x:c r="T8" s="129" t="str">
        <x:v>Tightened deterministic rules v1.2</x:v>
      </x:c>
      <x:c r="U8" s="45" t="str">
        <x:v>No material ambiguity.</x:v>
      </x:c>
    </x:row>
    <x:row r="9" ht="88" customHeight="1">
      <x:c r="A9" s="129" t="str">
        <x:v>P14</x:v>
      </x:c>
      <x:c r="B9" s="129" t="str">
        <x:v>Balea Professional — Shampoo Oil Repair Intensiv</x:v>
      </x:c>
      <x:c r="C9" s="129" t="n">
        <x:v>3</x:v>
      </x:c>
      <x:c r="D9" s="129" t="n">
        <x:v>2</x:v>
      </x:c>
      <x:c r="E9" s="129" t="n">
        <x:v>1</x:v>
      </x:c>
      <x:c r="F9" s="129" t="n">
        <x:v>2</x:v>
      </x:c>
      <x:c r="G9" s="129" t="n">
        <x:v>0</x:v>
      </x:c>
      <x:c r="H9" s="129" t="n">
        <x:v>1</x:v>
      </x:c>
      <x:c r="I9" s="129" t="n">
        <x:v>0</x:v>
      </x:c>
      <x:c r="J9" s="129" t="n">
        <x:v>1</x:v>
      </x:c>
      <x:c r="K9" s="129" t="n">
        <x:v>1</x:v>
      </x:c>
      <x:c r="L9" s="129" t="n">
        <x:v>0</x:v>
      </x:c>
      <x:c r="M9" s="129" t="n">
        <x:v>2</x:v>
      </x:c>
      <x:c r="N9" s="129" t="n">
        <x:v>1</x:v>
      </x:c>
      <x:c r="O9" s="129" t="n">
        <x:v>0</x:v>
      </x:c>
      <x:c r="P9" s="129" t="n">
        <x:v>1</x:v>
      </x:c>
      <x:c r="Q9" s="129" t="n">
        <x:v>1</x:v>
      </x:c>
      <x:c r="R9" s="129" t="n">
        <x:v>0</x:v>
      </x:c>
      <x:c r="S9" s="129" t="n">
        <x:v>2</x:v>
      </x:c>
      <x:c r="T9" s="129" t="str">
        <x:v>Tightened deterministic rules v1.2</x:v>
      </x:c>
      <x:c r="U9" s="45" t="str">
        <x:v>WT was scored 1 because strong cleansing/reset was weighted more heavily than early rinse-off oils.</x:v>
      </x:c>
    </x:row>
    <x:row r="10" ht="88" customHeight="1">
      <x:c r="A10" s="46" t="str">
        <x:v>P15</x:v>
      </x:c>
      <x:c r="B10" s="46" t="str">
        <x:v>L'Oréal Professionnel — Serie Expert Metal DX Shampoo</x:v>
      </x:c>
      <x:c r="C10" s="46" t="n">
        <x:v>3</x:v>
      </x:c>
      <x:c r="D10" s="46" t="n">
        <x:v>3</x:v>
      </x:c>
      <x:c r="E10" s="46" t="n">
        <x:v>2</x:v>
      </x:c>
      <x:c r="F10" s="46" t="n">
        <x:v>3</x:v>
      </x:c>
      <x:c r="G10" s="46" t="n">
        <x:v>1</x:v>
      </x:c>
      <x:c r="H10" s="46" t="n">
        <x:v>3</x:v>
      </x:c>
      <x:c r="I10" s="46" t="n">
        <x:v>0</x:v>
      </x:c>
      <x:c r="J10" s="46" t="n">
        <x:v>2</x:v>
      </x:c>
      <x:c r="K10" s="46" t="n">
        <x:v>1</x:v>
      </x:c>
      <x:c r="L10" s="46" t="n">
        <x:v>2</x:v>
      </x:c>
      <x:c r="M10" s="46" t="n">
        <x:v>3</x:v>
      </x:c>
      <x:c r="N10" s="46" t="n">
        <x:v>1</x:v>
      </x:c>
      <x:c r="O10" s="46" t="n">
        <x:v>0</x:v>
      </x:c>
      <x:c r="P10" s="46" t="n">
        <x:v>3</x:v>
      </x:c>
      <x:c r="Q10" s="46" t="n">
        <x:v>2</x:v>
      </x:c>
      <x:c r="R10" s="46" t="n">
        <x:v>1</x:v>
      </x:c>
      <x:c r="S10" s="46" t="n">
        <x:v>3</x:v>
      </x:c>
      <x:c r="T10" s="46" t="str">
        <x:v>Tightened deterministic rules v1.2</x:v>
      </x:c>
      <x:c r="U10" s="47" t="str">
        <x:v>IC was scored 1 because the pass used public INCI alone and treated proprietary active mapping as evidence rather than formula signal.</x:v>
      </x:c>
    </x:row>
  </x:sheetData>
  <x:mergeCells>
    <x:mergeCell ref="A1:U1"/>
    <x:mergeCell ref="A2:U2"/>
    <x:mergeCell ref="C4:E4"/>
    <x:mergeCell ref="F4:I4"/>
    <x:mergeCell ref="J4:L4"/>
    <x:mergeCell ref="M4:P4"/>
    <x:mergeCell ref="Q4:S4"/>
  </x:mergeCells>
  <x:conditionalFormatting sqref="C6:S10">
    <x:cfRule type="colorScale" priority="1">
      <x:colorScale>
        <x:cfvo type="min"/>
        <x:cfvo type="percentile" val="50"/>
        <x:cfvo type="max"/>
        <x:color rgb="FFF7F7F7"/>
        <x:color rgb="FFF3E7BD"/>
        <x:color rgb="FF7AC8BC"/>
      </x:colorScale>
    </x:cfRule>
  </x:conditionalFormatting>
  <x:pageMargins left="0.7" right="0.7" top="0.75" bottom="0.75" header="0.3" footer="0.3"/>
</x:worksheet>
</file>

<file path=xl/worksheets/sheet14.xml><?xml version="1.0" encoding="utf-8"?>
<x:worksheet xmlns:x="http://schemas.openxmlformats.org/spreadsheetml/2006/main">
  <x:sheetFormatPr defaultRowHeight="15"/>
  <x:cols>
    <x:col min="1" max="1" width="12" hidden="0" customWidth="1"/>
    <x:col min="2" max="2" width="38" hidden="0" customWidth="1"/>
    <x:col min="3" max="3" width="12" hidden="0" customWidth="1"/>
    <x:col min="4" max="4" width="12" hidden="0" customWidth="1"/>
    <x:col min="5" max="5" width="12" hidden="0" customWidth="1"/>
    <x:col min="6" max="6" width="12" hidden="0" customWidth="1"/>
    <x:col min="7" max="7" width="1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8" hidden="0" customWidth="1"/>
    <x:col min="19" max="19" width="8" hidden="0" customWidth="1"/>
    <x:col min="20" max="20" width="8" hidden="0" customWidth="1"/>
    <x:col min="21" max="21" width="8" hidden="0" customWidth="1"/>
    <x:col min="22" max="22" width="8" hidden="0" customWidth="1"/>
    <x:col min="23" max="23" width="8" hidden="0" customWidth="1"/>
    <x:col min="24" max="24" width="8" hidden="0" customWidth="1"/>
    <x:col min="25" max="25" width="12" hidden="0" customWidth="1"/>
    <x:col min="26" max="26" width="64" hidden="0" customWidth="1"/>
  </x:cols>
  <x:sheetData>
    <x:row r="1" ht="34" customHeight="1">
      <x:c r="A1" s="137" t="str">
        <x:v>Five-product stress-test comparison</x:v>
      </x:c>
      <x:c r="B1" s="137"/>
      <x:c r="C1" s="137"/>
      <x:c r="D1" s="137"/>
      <x:c r="E1" s="137"/>
      <x:c r="F1" s="137"/>
      <x:c r="G1" s="137"/>
      <x:c r="H1" s="137"/>
      <x:c r="I1" s="137"/>
      <x:c r="J1" s="137"/>
      <x:c r="K1" s="137"/>
      <x:c r="L1" s="137"/>
      <x:c r="M1" s="137"/>
      <x:c r="N1" s="137"/>
      <x:c r="O1" s="137"/>
      <x:c r="P1" s="137"/>
      <x:c r="Q1" s="137"/>
      <x:c r="R1" s="137"/>
      <x:c r="S1" s="137"/>
      <x:c r="T1" s="137"/>
      <x:c r="U1" s="137"/>
      <x:c r="V1" s="137"/>
      <x:c r="W1" s="137"/>
      <x:c r="X1" s="137"/>
      <x:c r="Y1" s="137"/>
      <x:c r="Z1" s="137"/>
    </x:row>
    <x:row r="2" ht="32" customHeight="1">
      <x:c r="A2" s="141" t="str">
        <x:v>This is an internal rule-consistency test, not independent validation. Four one-point disagreements were deliberately retained because they expose the remaining judgment boundaries.</x:v>
      </x:c>
      <x:c r="B2" s="141"/>
      <x:c r="C2" s="141"/>
      <x:c r="D2" s="141"/>
      <x:c r="E2" s="141"/>
      <x:c r="F2" s="141"/>
      <x:c r="G2" s="141"/>
      <x:c r="H2" s="141"/>
      <x:c r="I2" s="141"/>
      <x:c r="J2" s="141"/>
      <x:c r="K2" s="141"/>
      <x:c r="L2" s="141"/>
      <x:c r="M2" s="141"/>
      <x:c r="N2" s="141"/>
      <x:c r="O2" s="141"/>
      <x:c r="P2" s="141"/>
      <x:c r="Q2" s="141"/>
      <x:c r="R2" s="141"/>
      <x:c r="S2" s="141"/>
      <x:c r="T2" s="141"/>
      <x:c r="U2" s="141"/>
      <x:c r="V2" s="141"/>
      <x:c r="W2" s="141"/>
      <x:c r="X2" s="141"/>
      <x:c r="Y2" s="141"/>
      <x:c r="Z2" s="141"/>
    </x:row>
    <x:row r="4">
      <x:c r="A4" s="153" t="str">
        <x:v>KPI</x:v>
      </x:c>
      <x:c r="B4" s="155" t="str">
        <x:v>Result</x:v>
      </x:c>
      <x:c r="D4" s="153" t="str">
        <x:v>Finding</x:v>
      </x:c>
      <x:c r="E4" s="154" t="str">
        <x:v>Interpretation</x:v>
      </x:c>
      <x:c r="F4" s="155" t="str">
        <x:v>Rule consequence</x:v>
      </x:c>
    </x:row>
    <x:row r="5">
      <x:c r="A5" s="129" t="str">
        <x:v>Products</x:v>
      </x:c>
      <x:c r="B5" s="45" t="n">
        <x:v>5</x:v>
      </x:c>
      <x:c r="D5" s="129" t="str">
        <x:v>Acid-only over-scoring eliminated</x:v>
      </x:c>
      <x:c r="E5" s="129" t="str">
        <x:v>Only Redken reaches S2 3 because acid is early and official acidic-pH positioning is explicit.</x:v>
      </x:c>
      <x:c r="F5" s="45" t="str">
        <x:v>Keep acid-alone cap at S2 1.</x:v>
      </x:c>
    </x:row>
    <x:row r="6">
      <x:c r="A6" s="129" t="str">
        <x:v>Score comparisons</x:v>
      </x:c>
      <x:c r="B6" s="45" t="n">
        <x:v>85</x:v>
      </x:c>
      <x:c r="D6" s="129" t="str">
        <x:v>Protein/polymer transfer constrained</x:v>
      </x:c>
      <x:c r="E6" s="129" t="str">
        <x:v>OGX reaches V2 3 but only R2 2; bodying and surface repair are not interchangeable.</x:v>
      </x:c>
      <x:c r="F6" s="45" t="str">
        <x:v>Require endpoint-specific G3 rationale.</x:v>
      </x:c>
    </x:row>
    <x:row r="7">
      <x:c r="A7" s="129" t="str">
        <x:v>Mean absolute difference</x:v>
      </x:c>
      <x:c r="B7" s="82" t="n">
        <x:f>AVERAGE(C14:C18)</x:f>
        <x:v>0.047058823529411764</x:v>
      </x:c>
      <x:c r="D7" s="129" t="str">
        <x:v>Organic and inorganic removal remain separate</x:v>
      </x:c>
      <x:c r="E7" s="129" t="str">
        <x:v>Balea Tiefenreinigung scores OC 3 / IC 0.</x:v>
      </x:c>
      <x:c r="F7" s="45" t="str">
        <x:v>S3/V3 must inherit a named OC or IC route.</x:v>
      </x:c>
    </x:row>
    <x:row r="8">
      <x:c r="A8" s="129" t="str">
        <x:v>Exact score agreement</x:v>
      </x:c>
      <x:c r="B8" s="174" t="n">
        <x:f>COUNTIF(H14:X18,0)/85</x:f>
        <x:v>0.9529411764705882</x:v>
      </x:c>
      <x:c r="D8" s="129" t="str">
        <x:v>Rinse-off oil weight no longer inflates</x:v>
      </x:c>
      <x:c r="E8" s="129" t="str">
        <x:v>Balea Oil Repair stays WT 2 despite three early oils.</x:v>
      </x:c>
      <x:c r="F8" s="45" t="str">
        <x:v>Use deposition, persistence and reset subjudgments.</x:v>
      </x:c>
    </x:row>
    <x:row r="9">
      <x:c r="A9" s="129" t="str">
        <x:v>Scores within one point</x:v>
      </x:c>
      <x:c r="B9" s="174" t="n">
        <x:f>(COUNTIF(H14:X18,0)+COUNTIF(H14:X18,1)+COUNTIF(H14:X18,-1))/85</x:f>
        <x:v>1</x:v>
      </x:c>
      <x:c r="D9" s="46" t="str">
        <x:v>Evidence scope preserved</x:v>
      </x:c>
      <x:c r="E9" s="46" t="str">
        <x:v>Metal DX receives E4 multi-product evidence without raising formula scores.</x:v>
      </x:c>
      <x:c r="F9" s="47" t="str">
        <x:v>Maintain formula/evidence firewall.</x:v>
      </x:c>
    </x:row>
    <x:row r="10">
      <x:c r="A10" s="46" t="str">
        <x:v>Largest difference</x:v>
      </x:c>
      <x:c r="B10" s="175" t="n">
        <x:f>MAX(Y14:Y18)</x:f>
        <x:v>1</x:v>
      </x:c>
    </x:row>
    <x:row r="13">
      <x:c r="A13" s="153" t="str">
        <x:v>ID</x:v>
      </x:c>
      <x:c r="B13" s="154" t="str">
        <x:v>Product</x:v>
      </x:c>
      <x:c r="C13" s="154" t="str">
        <x:v>MAE</x:v>
      </x:c>
      <x:c r="D13" s="154" t="str">
        <x:v>Exact /17</x:v>
      </x:c>
      <x:c r="E13" s="154" t="str">
        <x:v>Within 1 /17</x:v>
      </x:c>
      <x:c r="F13" s="154" t="str">
        <x:v>Max diff</x:v>
      </x:c>
      <x:c r="G13" s="154" t="str">
        <x:v>Status</x:v>
      </x:c>
      <x:c r="H13" s="154" t="str">
        <x:v>CLN</x:v>
      </x:c>
      <x:c r="I13" s="154" t="str">
        <x:v>COND</x:v>
      </x:c>
      <x:c r="J13" s="154" t="str">
        <x:v>WT</x:v>
      </x:c>
      <x:c r="K13" s="154" t="str">
        <x:v>S1</x:v>
      </x:c>
      <x:c r="L13" s="154" t="str">
        <x:v>S2</x:v>
      </x:c>
      <x:c r="M13" s="154" t="str">
        <x:v>S3</x:v>
      </x:c>
      <x:c r="N13" s="154" t="str">
        <x:v>S4</x:v>
      </x:c>
      <x:c r="O13" s="154" t="str">
        <x:v>V1</x:v>
      </x:c>
      <x:c r="P13" s="154" t="str">
        <x:v>V2</x:v>
      </x:c>
      <x:c r="Q13" s="154" t="str">
        <x:v>V3</x:v>
      </x:c>
      <x:c r="R13" s="154" t="str">
        <x:v>R1</x:v>
      </x:c>
      <x:c r="S13" s="154" t="str">
        <x:v>R2</x:v>
      </x:c>
      <x:c r="T13" s="154" t="str">
        <x:v>R3</x:v>
      </x:c>
      <x:c r="U13" s="154" t="str">
        <x:v>R4</x:v>
      </x:c>
      <x:c r="V13" s="154" t="str">
        <x:v>OC</x:v>
      </x:c>
      <x:c r="W13" s="154" t="str">
        <x:v>IC</x:v>
      </x:c>
      <x:c r="X13" s="154" t="str">
        <x:v>MILD</x:v>
      </x:c>
      <x:c r="Y13" s="154" t="str">
        <x:v>Max abs diff</x:v>
      </x:c>
      <x:c r="Z13" s="155" t="str">
        <x:v>Remaining judgment boundary</x:v>
      </x:c>
    </x:row>
    <x:row r="14" ht="58" customHeight="1">
      <x:c r="A14" s="129" t="str">
        <x:v>P11</x:v>
      </x:c>
      <x:c r="B14" s="129" t="str">
        <x:v>Redken — Acidic Bonding Concentrate Shampoo</x:v>
      </x:c>
      <x:c r="C14" s="131" t="n">
        <x:f>(ABS(H14)+ABS(I14)+ABS(J14)+ABS(K14)+ABS(L14)+ABS(M14)+ABS(N14)+ABS(O14)+ABS(P14)+ABS(Q14)+ABS(R14)+ABS(S14)+ABS(T14)+ABS(U14)+ABS(V14)+ABS(W14)+ABS(X14))/17</x:f>
        <x:v>0.058823529411764705</x:v>
      </x:c>
      <x:c r="D14" s="129" t="n">
        <x:f>(IF(H14=0,1,0)+IF(I14=0,1,0)+IF(J14=0,1,0)+IF(K14=0,1,0)+IF(L14=0,1,0)+IF(M14=0,1,0)+IF(N14=0,1,0)+IF(O14=0,1,0)+IF(P14=0,1,0)+IF(Q14=0,1,0)+IF(R14=0,1,0)+IF(S14=0,1,0)+IF(T14=0,1,0)+IF(U14=0,1,0)+IF(V14=0,1,0)+IF(W14=0,1,0)+IF(X14=0,1,0))</x:f>
        <x:v>16</x:v>
      </x:c>
      <x:c r="E14" s="129" t="n">
        <x:f>(IF(ABS(H14)&lt;=1,1,0)+IF(ABS(I14)&lt;=1,1,0)+IF(ABS(J14)&lt;=1,1,0)+IF(ABS(K14)&lt;=1,1,0)+IF(ABS(L14)&lt;=1,1,0)+IF(ABS(M14)&lt;=1,1,0)+IF(ABS(N14)&lt;=1,1,0)+IF(ABS(O14)&lt;=1,1,0)+IF(ABS(P14)&lt;=1,1,0)+IF(ABS(Q14)&lt;=1,1,0)+IF(ABS(R14)&lt;=1,1,0)+IF(ABS(S14)&lt;=1,1,0)+IF(ABS(T14)&lt;=1,1,0)+IF(ABS(U14)&lt;=1,1,0)+IF(ABS(V14)&lt;=1,1,0)+IF(ABS(W14)&lt;=1,1,0)+IF(ABS(X14)&lt;=1,1,0))</x:f>
        <x:v>17</x:v>
      </x:c>
      <x:c r="F14" s="129" t="n">
        <x:f>MAX(ABS(H14),ABS(I14),ABS(J14),ABS(K14),ABS(L14),ABS(M14),ABS(N14),ABS(O14),ABS(P14),ABS(Q14),ABS(R14),ABS(S14),ABS(T14),ABS(U14),ABS(V14),ABS(W14),ABS(X14))</x:f>
        <x:v>1</x:v>
      </x:c>
      <x:c r="G14" s="129" t="str">
        <x:f>IF(F14&gt;1,"Recalibrate",IF(F14=1,"Review boundary","Exact anchor"))</x:f>
        <x:v>Review boundary</x:v>
      </x:c>
      <x:c r="H14" s="129" t="n">
        <x:f>Stress_Rule_Pass!C6-Stress_Key!C6</x:f>
        <x:v>0</x:v>
      </x:c>
      <x:c r="I14" s="129" t="n">
        <x:f>Stress_Rule_Pass!D6-Stress_Key!D6</x:f>
        <x:v>0</x:v>
      </x:c>
      <x:c r="J14" s="129" t="n">
        <x:f>Stress_Rule_Pass!E6-Stress_Key!E6</x:f>
        <x:v>0</x:v>
      </x:c>
      <x:c r="K14" s="129" t="n">
        <x:f>Stress_Rule_Pass!F6-Stress_Key!F6</x:f>
        <x:v>0</x:v>
      </x:c>
      <x:c r="L14" s="129" t="n">
        <x:f>Stress_Rule_Pass!G6-Stress_Key!G6</x:f>
        <x:v>0</x:v>
      </x:c>
      <x:c r="M14" s="129" t="n">
        <x:f>Stress_Rule_Pass!H6-Stress_Key!H6</x:f>
        <x:v>0</x:v>
      </x:c>
      <x:c r="N14" s="129" t="n">
        <x:f>Stress_Rule_Pass!I6-Stress_Key!I6</x:f>
        <x:v>0</x:v>
      </x:c>
      <x:c r="O14" s="129" t="n">
        <x:f>Stress_Rule_Pass!J6-Stress_Key!J6</x:f>
        <x:v>0</x:v>
      </x:c>
      <x:c r="P14" s="129" t="n">
        <x:f>Stress_Rule_Pass!K6-Stress_Key!K6</x:f>
        <x:v>0</x:v>
      </x:c>
      <x:c r="Q14" s="129" t="n">
        <x:f>Stress_Rule_Pass!L6-Stress_Key!L6</x:f>
        <x:v>0</x:v>
      </x:c>
      <x:c r="R14" s="129" t="n">
        <x:f>Stress_Rule_Pass!M6-Stress_Key!M6</x:f>
        <x:v>0</x:v>
      </x:c>
      <x:c r="S14" s="129" t="n">
        <x:f>Stress_Rule_Pass!N6-Stress_Key!N6</x:f>
        <x:v>0</x:v>
      </x:c>
      <x:c r="T14" s="129" t="n">
        <x:f>Stress_Rule_Pass!O6-Stress_Key!O6</x:f>
        <x:v>-1</x:v>
      </x:c>
      <x:c r="U14" s="129" t="n">
        <x:f>Stress_Rule_Pass!P6-Stress_Key!P6</x:f>
        <x:v>0</x:v>
      </x:c>
      <x:c r="V14" s="129" t="n">
        <x:f>Stress_Rule_Pass!Q6-Stress_Key!Q6</x:f>
        <x:v>0</x:v>
      </x:c>
      <x:c r="W14" s="129" t="n">
        <x:f>Stress_Rule_Pass!R6-Stress_Key!R6</x:f>
        <x:v>0</x:v>
      </x:c>
      <x:c r="X14" s="129" t="n">
        <x:f>Stress_Rule_Pass!S6-Stress_Key!S6</x:f>
        <x:v>0</x:v>
      </x:c>
      <x:c r="Y14" s="129" t="n">
        <x:f>F14</x:f>
        <x:v>1</x:v>
      </x:c>
      <x:c r="Z14" s="45" t="str">
        <x:v>Whether un-mapped acidic 'bonding' deserves R3 0 or 1.</x:v>
      </x:c>
    </x:row>
    <x:row r="15" ht="58" customHeight="1">
      <x:c r="A15" s="129" t="str">
        <x:v>P12</x:v>
      </x:c>
      <x:c r="B15" s="129" t="str">
        <x:v>OGX — Thick &amp; Full Biotin &amp; Collagen Shampoo</x:v>
      </x:c>
      <x:c r="C15" s="131" t="n">
        <x:f>(ABS(H15)+ABS(I15)+ABS(J15)+ABS(K15)+ABS(L15)+ABS(M15)+ABS(N15)+ABS(O15)+ABS(P15)+ABS(Q15)+ABS(R15)+ABS(S15)+ABS(T15)+ABS(U15)+ABS(V15)+ABS(W15)+ABS(X15))/17</x:f>
        <x:v>0.058823529411764705</x:v>
      </x:c>
      <x:c r="D15" s="129" t="n">
        <x:f>(IF(H15=0,1,0)+IF(I15=0,1,0)+IF(J15=0,1,0)+IF(K15=0,1,0)+IF(L15=0,1,0)+IF(M15=0,1,0)+IF(N15=0,1,0)+IF(O15=0,1,0)+IF(P15=0,1,0)+IF(Q15=0,1,0)+IF(R15=0,1,0)+IF(S15=0,1,0)+IF(T15=0,1,0)+IF(U15=0,1,0)+IF(V15=0,1,0)+IF(W15=0,1,0)+IF(X15=0,1,0))</x:f>
        <x:v>16</x:v>
      </x:c>
      <x:c r="E15" s="129" t="n">
        <x:f>(IF(ABS(H15)&lt;=1,1,0)+IF(ABS(I15)&lt;=1,1,0)+IF(ABS(J15)&lt;=1,1,0)+IF(ABS(K15)&lt;=1,1,0)+IF(ABS(L15)&lt;=1,1,0)+IF(ABS(M15)&lt;=1,1,0)+IF(ABS(N15)&lt;=1,1,0)+IF(ABS(O15)&lt;=1,1,0)+IF(ABS(P15)&lt;=1,1,0)+IF(ABS(Q15)&lt;=1,1,0)+IF(ABS(R15)&lt;=1,1,0)+IF(ABS(S15)&lt;=1,1,0)+IF(ABS(T15)&lt;=1,1,0)+IF(ABS(U15)&lt;=1,1,0)+IF(ABS(V15)&lt;=1,1,0)+IF(ABS(W15)&lt;=1,1,0)+IF(ABS(X15)&lt;=1,1,0))</x:f>
        <x:v>17</x:v>
      </x:c>
      <x:c r="F15" s="129" t="n">
        <x:f>MAX(ABS(H15),ABS(I15),ABS(J15),ABS(K15),ABS(L15),ABS(M15),ABS(N15),ABS(O15),ABS(P15),ABS(Q15),ABS(R15),ABS(S15),ABS(T15),ABS(U15),ABS(V15),ABS(W15),ABS(X15))</x:f>
        <x:v>1</x:v>
      </x:c>
      <x:c r="G15" s="129" t="str">
        <x:f>IF(F15&gt;1,"Recalibrate",IF(F15=1,"Review boundary","Exact anchor"))</x:f>
        <x:v>Review boundary</x:v>
      </x:c>
      <x:c r="H15" s="129" t="n">
        <x:f>Stress_Rule_Pass!C7-Stress_Key!C7</x:f>
        <x:v>0</x:v>
      </x:c>
      <x:c r="I15" s="129" t="n">
        <x:f>Stress_Rule_Pass!D7-Stress_Key!D7</x:f>
        <x:v>0</x:v>
      </x:c>
      <x:c r="J15" s="129" t="n">
        <x:f>Stress_Rule_Pass!E7-Stress_Key!E7</x:f>
        <x:v>0</x:v>
      </x:c>
      <x:c r="K15" s="129" t="n">
        <x:f>Stress_Rule_Pass!F7-Stress_Key!F7</x:f>
        <x:v>0</x:v>
      </x:c>
      <x:c r="L15" s="129" t="n">
        <x:f>Stress_Rule_Pass!G7-Stress_Key!G7</x:f>
        <x:v>0</x:v>
      </x:c>
      <x:c r="M15" s="129" t="n">
        <x:f>Stress_Rule_Pass!H7-Stress_Key!H7</x:f>
        <x:v>0</x:v>
      </x:c>
      <x:c r="N15" s="129" t="n">
        <x:f>Stress_Rule_Pass!I7-Stress_Key!I7</x:f>
        <x:v>0</x:v>
      </x:c>
      <x:c r="O15" s="129" t="n">
        <x:f>Stress_Rule_Pass!J7-Stress_Key!J7</x:f>
        <x:v>0</x:v>
      </x:c>
      <x:c r="P15" s="129" t="n">
        <x:f>Stress_Rule_Pass!K7-Stress_Key!K7</x:f>
        <x:v>0</x:v>
      </x:c>
      <x:c r="Q15" s="129" t="n">
        <x:f>Stress_Rule_Pass!L7-Stress_Key!L7</x:f>
        <x:v>0</x:v>
      </x:c>
      <x:c r="R15" s="129" t="n">
        <x:f>Stress_Rule_Pass!M7-Stress_Key!M7</x:f>
        <x:v>0</x:v>
      </x:c>
      <x:c r="S15" s="129" t="n">
        <x:f>Stress_Rule_Pass!N7-Stress_Key!N7</x:f>
        <x:v>1</x:v>
      </x:c>
      <x:c r="T15" s="129" t="n">
        <x:f>Stress_Rule_Pass!O7-Stress_Key!O7</x:f>
        <x:v>0</x:v>
      </x:c>
      <x:c r="U15" s="129" t="n">
        <x:f>Stress_Rule_Pass!P7-Stress_Key!P7</x:f>
        <x:v>0</x:v>
      </x:c>
      <x:c r="V15" s="129" t="n">
        <x:f>Stress_Rule_Pass!Q7-Stress_Key!Q7</x:f>
        <x:v>0</x:v>
      </x:c>
      <x:c r="W15" s="129" t="n">
        <x:f>Stress_Rule_Pass!R7-Stress_Key!R7</x:f>
        <x:v>0</x:v>
      </x:c>
      <x:c r="X15" s="129" t="n">
        <x:f>Stress_Rule_Pass!S7-Stress_Key!S7</x:f>
        <x:v>0</x:v>
      </x:c>
      <x:c r="Y15" s="129" t="n">
        <x:f>F15</x:f>
        <x:v>1</x:v>
      </x:c>
      <x:c r="Z15" s="45" t="str">
        <x:v>How much R2 credit a coherent volume-oriented collagen/starch film deserves.</x:v>
      </x:c>
    </x:row>
    <x:row r="16" ht="58" customHeight="1">
      <x:c r="A16" s="129" t="str">
        <x:v>P13</x:v>
      </x:c>
      <x:c r="B16" s="129" t="str">
        <x:v>Balea Professional — Shampoo Tiefenreinigung</x:v>
      </x:c>
      <x:c r="C16" s="131" t="n">
        <x:f>(ABS(H16)+ABS(I16)+ABS(J16)+ABS(K16)+ABS(L16)+ABS(M16)+ABS(N16)+ABS(O16)+ABS(P16)+ABS(Q16)+ABS(R16)+ABS(S16)+ABS(T16)+ABS(U16)+ABS(V16)+ABS(W16)+ABS(X16))/17</x:f>
        <x:v>0</x:v>
      </x:c>
      <x:c r="D16" s="129" t="n">
        <x:f>(IF(H16=0,1,0)+IF(I16=0,1,0)+IF(J16=0,1,0)+IF(K16=0,1,0)+IF(L16=0,1,0)+IF(M16=0,1,0)+IF(N16=0,1,0)+IF(O16=0,1,0)+IF(P16=0,1,0)+IF(Q16=0,1,0)+IF(R16=0,1,0)+IF(S16=0,1,0)+IF(T16=0,1,0)+IF(U16=0,1,0)+IF(V16=0,1,0)+IF(W16=0,1,0)+IF(X16=0,1,0))</x:f>
        <x:v>17</x:v>
      </x:c>
      <x:c r="E16" s="129" t="n">
        <x:f>(IF(ABS(H16)&lt;=1,1,0)+IF(ABS(I16)&lt;=1,1,0)+IF(ABS(J16)&lt;=1,1,0)+IF(ABS(K16)&lt;=1,1,0)+IF(ABS(L16)&lt;=1,1,0)+IF(ABS(M16)&lt;=1,1,0)+IF(ABS(N16)&lt;=1,1,0)+IF(ABS(O16)&lt;=1,1,0)+IF(ABS(P16)&lt;=1,1,0)+IF(ABS(Q16)&lt;=1,1,0)+IF(ABS(R16)&lt;=1,1,0)+IF(ABS(S16)&lt;=1,1,0)+IF(ABS(T16)&lt;=1,1,0)+IF(ABS(U16)&lt;=1,1,0)+IF(ABS(V16)&lt;=1,1,0)+IF(ABS(W16)&lt;=1,1,0)+IF(ABS(X16)&lt;=1,1,0))</x:f>
        <x:v>17</x:v>
      </x:c>
      <x:c r="F16" s="129" t="n">
        <x:f>MAX(ABS(H16),ABS(I16),ABS(J16),ABS(K16),ABS(L16),ABS(M16),ABS(N16),ABS(O16),ABS(P16),ABS(Q16),ABS(R16),ABS(S16),ABS(T16),ABS(U16),ABS(V16),ABS(W16),ABS(X16))</x:f>
        <x:v>0</x:v>
      </x:c>
      <x:c r="G16" s="129" t="str">
        <x:f>IF(F16&gt;1,"Recalibrate",IF(F16=1,"Review boundary","Exact anchor"))</x:f>
        <x:v>Exact anchor</x:v>
      </x:c>
      <x:c r="H16" s="129" t="n">
        <x:f>Stress_Rule_Pass!C8-Stress_Key!C8</x:f>
        <x:v>0</x:v>
      </x:c>
      <x:c r="I16" s="129" t="n">
        <x:f>Stress_Rule_Pass!D8-Stress_Key!D8</x:f>
        <x:v>0</x:v>
      </x:c>
      <x:c r="J16" s="129" t="n">
        <x:f>Stress_Rule_Pass!E8-Stress_Key!E8</x:f>
        <x:v>0</x:v>
      </x:c>
      <x:c r="K16" s="129" t="n">
        <x:f>Stress_Rule_Pass!F8-Stress_Key!F8</x:f>
        <x:v>0</x:v>
      </x:c>
      <x:c r="L16" s="129" t="n">
        <x:f>Stress_Rule_Pass!G8-Stress_Key!G8</x:f>
        <x:v>0</x:v>
      </x:c>
      <x:c r="M16" s="129" t="n">
        <x:f>Stress_Rule_Pass!H8-Stress_Key!H8</x:f>
        <x:v>0</x:v>
      </x:c>
      <x:c r="N16" s="129" t="n">
        <x:f>Stress_Rule_Pass!I8-Stress_Key!I8</x:f>
        <x:v>0</x:v>
      </x:c>
      <x:c r="O16" s="129" t="n">
        <x:f>Stress_Rule_Pass!J8-Stress_Key!J8</x:f>
        <x:v>0</x:v>
      </x:c>
      <x:c r="P16" s="129" t="n">
        <x:f>Stress_Rule_Pass!K8-Stress_Key!K8</x:f>
        <x:v>0</x:v>
      </x:c>
      <x:c r="Q16" s="129" t="n">
        <x:f>Stress_Rule_Pass!L8-Stress_Key!L8</x:f>
        <x:v>0</x:v>
      </x:c>
      <x:c r="R16" s="129" t="n">
        <x:f>Stress_Rule_Pass!M8-Stress_Key!M8</x:f>
        <x:v>0</x:v>
      </x:c>
      <x:c r="S16" s="129" t="n">
        <x:f>Stress_Rule_Pass!N8-Stress_Key!N8</x:f>
        <x:v>0</x:v>
      </x:c>
      <x:c r="T16" s="129" t="n">
        <x:f>Stress_Rule_Pass!O8-Stress_Key!O8</x:f>
        <x:v>0</x:v>
      </x:c>
      <x:c r="U16" s="129" t="n">
        <x:f>Stress_Rule_Pass!P8-Stress_Key!P8</x:f>
        <x:v>0</x:v>
      </x:c>
      <x:c r="V16" s="129" t="n">
        <x:f>Stress_Rule_Pass!Q8-Stress_Key!Q8</x:f>
        <x:v>0</x:v>
      </x:c>
      <x:c r="W16" s="129" t="n">
        <x:f>Stress_Rule_Pass!R8-Stress_Key!R8</x:f>
        <x:v>0</x:v>
      </x:c>
      <x:c r="X16" s="129" t="n">
        <x:f>Stress_Rule_Pass!S8-Stress_Key!S8</x:f>
        <x:v>0</x:v>
      </x:c>
      <x:c r="Y16" s="129" t="n">
        <x:f>F16</x:f>
        <x:v>0</x:v>
      </x:c>
      <x:c r="Z16" s="45" t="str">
        <x:v>None; strong anchor for OC/IC separation.</x:v>
      </x:c>
    </x:row>
    <x:row r="17" ht="58" customHeight="1">
      <x:c r="A17" s="129" t="str">
        <x:v>P14</x:v>
      </x:c>
      <x:c r="B17" s="129" t="str">
        <x:v>Balea Professional — Shampoo Oil Repair Intensiv</x:v>
      </x:c>
      <x:c r="C17" s="131" t="n">
        <x:f>(ABS(H17)+ABS(I17)+ABS(J17)+ABS(K17)+ABS(L17)+ABS(M17)+ABS(N17)+ABS(O17)+ABS(P17)+ABS(Q17)+ABS(R17)+ABS(S17)+ABS(T17)+ABS(U17)+ABS(V17)+ABS(W17)+ABS(X17))/17</x:f>
        <x:v>0.058823529411764705</x:v>
      </x:c>
      <x:c r="D17" s="129" t="n">
        <x:f>(IF(H17=0,1,0)+IF(I17=0,1,0)+IF(J17=0,1,0)+IF(K17=0,1,0)+IF(L17=0,1,0)+IF(M17=0,1,0)+IF(N17=0,1,0)+IF(O17=0,1,0)+IF(P17=0,1,0)+IF(Q17=0,1,0)+IF(R17=0,1,0)+IF(S17=0,1,0)+IF(T17=0,1,0)+IF(U17=0,1,0)+IF(V17=0,1,0)+IF(W17=0,1,0)+IF(X17=0,1,0))</x:f>
        <x:v>16</x:v>
      </x:c>
      <x:c r="E17" s="129" t="n">
        <x:f>(IF(ABS(H17)&lt;=1,1,0)+IF(ABS(I17)&lt;=1,1,0)+IF(ABS(J17)&lt;=1,1,0)+IF(ABS(K17)&lt;=1,1,0)+IF(ABS(L17)&lt;=1,1,0)+IF(ABS(M17)&lt;=1,1,0)+IF(ABS(N17)&lt;=1,1,0)+IF(ABS(O17)&lt;=1,1,0)+IF(ABS(P17)&lt;=1,1,0)+IF(ABS(Q17)&lt;=1,1,0)+IF(ABS(R17)&lt;=1,1,0)+IF(ABS(S17)&lt;=1,1,0)+IF(ABS(T17)&lt;=1,1,0)+IF(ABS(U17)&lt;=1,1,0)+IF(ABS(V17)&lt;=1,1,0)+IF(ABS(W17)&lt;=1,1,0)+IF(ABS(X17)&lt;=1,1,0))</x:f>
        <x:v>17</x:v>
      </x:c>
      <x:c r="F17" s="129" t="n">
        <x:f>MAX(ABS(H17),ABS(I17),ABS(J17),ABS(K17),ABS(L17),ABS(M17),ABS(N17),ABS(O17),ABS(P17),ABS(Q17),ABS(R17),ABS(S17),ABS(T17),ABS(U17),ABS(V17),ABS(W17),ABS(X17))</x:f>
        <x:v>1</x:v>
      </x:c>
      <x:c r="G17" s="129" t="str">
        <x:f>IF(F17&gt;1,"Recalibrate",IF(F17=1,"Review boundary","Exact anchor"))</x:f>
        <x:v>Review boundary</x:v>
      </x:c>
      <x:c r="H17" s="129" t="n">
        <x:f>Stress_Rule_Pass!C9-Stress_Key!C9</x:f>
        <x:v>0</x:v>
      </x:c>
      <x:c r="I17" s="129" t="n">
        <x:f>Stress_Rule_Pass!D9-Stress_Key!D9</x:f>
        <x:v>0</x:v>
      </x:c>
      <x:c r="J17" s="129" t="n">
        <x:f>Stress_Rule_Pass!E9-Stress_Key!E9</x:f>
        <x:v>-1</x:v>
      </x:c>
      <x:c r="K17" s="129" t="n">
        <x:f>Stress_Rule_Pass!F9-Stress_Key!F9</x:f>
        <x:v>0</x:v>
      </x:c>
      <x:c r="L17" s="129" t="n">
        <x:f>Stress_Rule_Pass!G9-Stress_Key!G9</x:f>
        <x:v>0</x:v>
      </x:c>
      <x:c r="M17" s="129" t="n">
        <x:f>Stress_Rule_Pass!H9-Stress_Key!H9</x:f>
        <x:v>0</x:v>
      </x:c>
      <x:c r="N17" s="129" t="n">
        <x:f>Stress_Rule_Pass!I9-Stress_Key!I9</x:f>
        <x:v>0</x:v>
      </x:c>
      <x:c r="O17" s="129" t="n">
        <x:f>Stress_Rule_Pass!J9-Stress_Key!J9</x:f>
        <x:v>0</x:v>
      </x:c>
      <x:c r="P17" s="129" t="n">
        <x:f>Stress_Rule_Pass!K9-Stress_Key!K9</x:f>
        <x:v>0</x:v>
      </x:c>
      <x:c r="Q17" s="129" t="n">
        <x:f>Stress_Rule_Pass!L9-Stress_Key!L9</x:f>
        <x:v>0</x:v>
      </x:c>
      <x:c r="R17" s="129" t="n">
        <x:f>Stress_Rule_Pass!M9-Stress_Key!M9</x:f>
        <x:v>0</x:v>
      </x:c>
      <x:c r="S17" s="129" t="n">
        <x:f>Stress_Rule_Pass!N9-Stress_Key!N9</x:f>
        <x:v>0</x:v>
      </x:c>
      <x:c r="T17" s="129" t="n">
        <x:f>Stress_Rule_Pass!O9-Stress_Key!O9</x:f>
        <x:v>0</x:v>
      </x:c>
      <x:c r="U17" s="129" t="n">
        <x:f>Stress_Rule_Pass!P9-Stress_Key!P9</x:f>
        <x:v>0</x:v>
      </x:c>
      <x:c r="V17" s="129" t="n">
        <x:f>Stress_Rule_Pass!Q9-Stress_Key!Q9</x:f>
        <x:v>0</x:v>
      </x:c>
      <x:c r="W17" s="129" t="n">
        <x:f>Stress_Rule_Pass!R9-Stress_Key!R9</x:f>
        <x:v>0</x:v>
      </x:c>
      <x:c r="X17" s="129" t="n">
        <x:f>Stress_Rule_Pass!S9-Stress_Key!S9</x:f>
        <x:v>0</x:v>
      </x:c>
      <x:c r="Y17" s="129" t="n">
        <x:f>F17</x:f>
        <x:v>1</x:v>
      </x:c>
      <x:c r="Z17" s="45" t="str">
        <x:v>Whether early rinse-off oils plus guar yield WT 1 or 2; identity remains provisional.</x:v>
      </x:c>
    </x:row>
    <x:row r="18" ht="58" customHeight="1">
      <x:c r="A18" s="46" t="str">
        <x:v>P15</x:v>
      </x:c>
      <x:c r="B18" s="46" t="str">
        <x:v>L'Oréal Professionnel — Serie Expert Metal DX Shampoo</x:v>
      </x:c>
      <x:c r="C18" s="85" t="n">
        <x:f>(ABS(H18)+ABS(I18)+ABS(J18)+ABS(K18)+ABS(L18)+ABS(M18)+ABS(N18)+ABS(O18)+ABS(P18)+ABS(Q18)+ABS(R18)+ABS(S18)+ABS(T18)+ABS(U18)+ABS(V18)+ABS(W18)+ABS(X18))/17</x:f>
        <x:v>0.058823529411764705</x:v>
      </x:c>
      <x:c r="D18" s="46" t="n">
        <x:f>(IF(H18=0,1,0)+IF(I18=0,1,0)+IF(J18=0,1,0)+IF(K18=0,1,0)+IF(L18=0,1,0)+IF(M18=0,1,0)+IF(N18=0,1,0)+IF(O18=0,1,0)+IF(P18=0,1,0)+IF(Q18=0,1,0)+IF(R18=0,1,0)+IF(S18=0,1,0)+IF(T18=0,1,0)+IF(U18=0,1,0)+IF(V18=0,1,0)+IF(W18=0,1,0)+IF(X18=0,1,0))</x:f>
        <x:v>16</x:v>
      </x:c>
      <x:c r="E18" s="46" t="n">
        <x:f>(IF(ABS(H18)&lt;=1,1,0)+IF(ABS(I18)&lt;=1,1,0)+IF(ABS(J18)&lt;=1,1,0)+IF(ABS(K18)&lt;=1,1,0)+IF(ABS(L18)&lt;=1,1,0)+IF(ABS(M18)&lt;=1,1,0)+IF(ABS(N18)&lt;=1,1,0)+IF(ABS(O18)&lt;=1,1,0)+IF(ABS(P18)&lt;=1,1,0)+IF(ABS(Q18)&lt;=1,1,0)+IF(ABS(R18)&lt;=1,1,0)+IF(ABS(S18)&lt;=1,1,0)+IF(ABS(T18)&lt;=1,1,0)+IF(ABS(U18)&lt;=1,1,0)+IF(ABS(V18)&lt;=1,1,0)+IF(ABS(W18)&lt;=1,1,0)+IF(ABS(X18)&lt;=1,1,0))</x:f>
        <x:v>17</x:v>
      </x:c>
      <x:c r="F18" s="46" t="n">
        <x:f>MAX(ABS(H18),ABS(I18),ABS(J18),ABS(K18),ABS(L18),ABS(M18),ABS(N18),ABS(O18),ABS(P18),ABS(Q18),ABS(R18),ABS(S18),ABS(T18),ABS(U18),ABS(V18),ABS(W18),ABS(X18))</x:f>
        <x:v>1</x:v>
      </x:c>
      <x:c r="G18" s="46" t="str">
        <x:f>IF(F18&gt;1,"Recalibrate",IF(F18=1,"Review boundary","Exact anchor"))</x:f>
        <x:v>Review boundary</x:v>
      </x:c>
      <x:c r="H18" s="46" t="n">
        <x:f>Stress_Rule_Pass!C10-Stress_Key!C10</x:f>
        <x:v>0</x:v>
      </x:c>
      <x:c r="I18" s="46" t="n">
        <x:f>Stress_Rule_Pass!D10-Stress_Key!D10</x:f>
        <x:v>0</x:v>
      </x:c>
      <x:c r="J18" s="46" t="n">
        <x:f>Stress_Rule_Pass!E10-Stress_Key!E10</x:f>
        <x:v>0</x:v>
      </x:c>
      <x:c r="K18" s="46" t="n">
        <x:f>Stress_Rule_Pass!F10-Stress_Key!F10</x:f>
        <x:v>0</x:v>
      </x:c>
      <x:c r="L18" s="46" t="n">
        <x:f>Stress_Rule_Pass!G10-Stress_Key!G10</x:f>
        <x:v>0</x:v>
      </x:c>
      <x:c r="M18" s="46" t="n">
        <x:f>Stress_Rule_Pass!H10-Stress_Key!H10</x:f>
        <x:v>0</x:v>
      </x:c>
      <x:c r="N18" s="46" t="n">
        <x:f>Stress_Rule_Pass!I10-Stress_Key!I10</x:f>
        <x:v>0</x:v>
      </x:c>
      <x:c r="O18" s="46" t="n">
        <x:f>Stress_Rule_Pass!J10-Stress_Key!J10</x:f>
        <x:v>0</x:v>
      </x:c>
      <x:c r="P18" s="46" t="n">
        <x:f>Stress_Rule_Pass!K10-Stress_Key!K10</x:f>
        <x:v>0</x:v>
      </x:c>
      <x:c r="Q18" s="46" t="n">
        <x:f>Stress_Rule_Pass!L10-Stress_Key!L10</x:f>
        <x:v>0</x:v>
      </x:c>
      <x:c r="R18" s="46" t="n">
        <x:f>Stress_Rule_Pass!M10-Stress_Key!M10</x:f>
        <x:v>0</x:v>
      </x:c>
      <x:c r="S18" s="46" t="n">
        <x:f>Stress_Rule_Pass!N10-Stress_Key!N10</x:f>
        <x:v>0</x:v>
      </x:c>
      <x:c r="T18" s="46" t="n">
        <x:f>Stress_Rule_Pass!O10-Stress_Key!O10</x:f>
        <x:v>0</x:v>
      </x:c>
      <x:c r="U18" s="46" t="n">
        <x:f>Stress_Rule_Pass!P10-Stress_Key!P10</x:f>
        <x:v>0</x:v>
      </x:c>
      <x:c r="V18" s="46" t="n">
        <x:f>Stress_Rule_Pass!Q10-Stress_Key!Q10</x:f>
        <x:v>0</x:v>
      </x:c>
      <x:c r="W18" s="46" t="n">
        <x:f>Stress_Rule_Pass!R10-Stress_Key!R10</x:f>
        <x:v>-1</x:v>
      </x:c>
      <x:c r="X18" s="46" t="n">
        <x:f>Stress_Rule_Pass!S10-Stress_Key!S10</x:f>
        <x:v>0</x:v>
      </x:c>
      <x:c r="Y18" s="46" t="n">
        <x:f>F18</x:f>
        <x:v>1</x:v>
      </x:c>
      <x:c r="Z18" s="47" t="str">
        <x:v>Whether official proprietary Glicoamine mapping supports IC 2 when public INCI mapping is opaque.</x:v>
      </x:c>
    </x:row>
    <x:row r="22">
      <x:c r="A22" s="153" t="str">
        <x:v>Dimension</x:v>
      </x:c>
      <x:c r="B22" s="154" t="str">
        <x:v>Mean signed drift</x:v>
      </x:c>
      <x:c r="C22" s="154" t="str">
        <x:v>Mean absolute difference</x:v>
      </x:c>
      <x:c r="D22" s="154" t="str">
        <x:v>Non-zero products</x:v>
      </x:c>
      <x:c r="E22" s="155" t="str">
        <x:v>v1.2 conclusion</x:v>
      </x:c>
    </x:row>
    <x:row r="23" ht="38" customHeight="1">
      <x:c r="A23" s="129" t="str">
        <x:v>CLN</x:v>
      </x:c>
      <x:c r="B23" s="131" t="n">
        <x:f>SUM(H14:H18)/5</x:f>
        <x:v>0</x:v>
      </x:c>
      <x:c r="C23" s="131" t="n">
        <x:f>(ABS(H14)+ABS(H15)+ABS(H16)+ABS(H17)+ABS(H18))/5</x:f>
        <x:v>0</x:v>
      </x:c>
      <x:c r="D23" s="129" t="n">
        <x:f>COUNTIF(H14:H18,"&lt;&gt;0")</x:f>
        <x:v>0</x:v>
      </x:c>
      <x:c r="E23" s="45" t="str">
        <x:v>Stable.</x:v>
      </x:c>
    </x:row>
    <x:row r="24" ht="38" customHeight="1">
      <x:c r="A24" s="129" t="str">
        <x:v>COND</x:v>
      </x:c>
      <x:c r="B24" s="131" t="n">
        <x:f>SUM(I14:I18)/5</x:f>
        <x:v>0</x:v>
      </x:c>
      <x:c r="C24" s="131" t="n">
        <x:f>(ABS(I14)+ABS(I15)+ABS(I16)+ABS(I17)+ABS(I18))/5</x:f>
        <x:v>0</x:v>
      </x:c>
      <x:c r="D24" s="129" t="n">
        <x:f>COUNTIF(I14:I18,"&lt;&gt;0")</x:f>
        <x:v>0</x:v>
      </x:c>
      <x:c r="E24" s="45" t="str">
        <x:v>Stable.</x:v>
      </x:c>
    </x:row>
    <x:row r="25" ht="38" customHeight="1">
      <x:c r="A25" s="129" t="str">
        <x:v>WT</x:v>
      </x:c>
      <x:c r="B25" s="131" t="n">
        <x:f>SUM(J14:J18)/5</x:f>
        <x:v>-0.2</x:v>
      </x:c>
      <x:c r="C25" s="131" t="n">
        <x:f>(ABS(J14)+ABS(J15)+ABS(J16)+ABS(J17)+ABS(J18))/5</x:f>
        <x:v>0.2</x:v>
      </x:c>
      <x:c r="D25" s="129" t="n">
        <x:f>COUNTIF(J14:J18,"&lt;&gt;0")</x:f>
        <x:v>1</x:v>
      </x:c>
      <x:c r="E25" s="45" t="str">
        <x:v>Subjudgments reduced over-scoring; retain one-point human review boundary.</x:v>
      </x:c>
    </x:row>
    <x:row r="26" ht="38" customHeight="1">
      <x:c r="A26" s="129" t="str">
        <x:v>S1</x:v>
      </x:c>
      <x:c r="B26" s="131" t="n">
        <x:f>SUM(K14:K18)/5</x:f>
        <x:v>0</x:v>
      </x:c>
      <x:c r="C26" s="131" t="n">
        <x:f>(ABS(K14)+ABS(K15)+ABS(K16)+ABS(K17)+ABS(K18))/5</x:f>
        <x:v>0</x:v>
      </x:c>
      <x:c r="D26" s="129" t="n">
        <x:f>COUNTIF(K14:K18,"&lt;&gt;0")</x:f>
        <x:v>0</x:v>
      </x:c>
      <x:c r="E26" s="45" t="str">
        <x:v>Stable.</x:v>
      </x:c>
    </x:row>
    <x:row r="27" ht="38" customHeight="1">
      <x:c r="A27" s="129" t="str">
        <x:v>S2</x:v>
      </x:c>
      <x:c r="B27" s="131" t="n">
        <x:f>SUM(L14:L18)/5</x:f>
        <x:v>0</x:v>
      </x:c>
      <x:c r="C27" s="131" t="n">
        <x:f>(ABS(L14)+ABS(L15)+ABS(L16)+ABS(L17)+ABS(L18))/5</x:f>
        <x:v>0</x:v>
      </x:c>
      <x:c r="D27" s="129" t="n">
        <x:f>COUNTIF(L14:L18,"&lt;&gt;0")</x:f>
        <x:v>0</x:v>
      </x:c>
      <x:c r="E27" s="45" t="str">
        <x:v>Acid-alone cap worked; stable in stress set.</x:v>
      </x:c>
    </x:row>
    <x:row r="28" ht="38" customHeight="1">
      <x:c r="A28" s="129" t="str">
        <x:v>S3</x:v>
      </x:c>
      <x:c r="B28" s="131" t="n">
        <x:f>SUM(M14:M18)/5</x:f>
        <x:v>0</x:v>
      </x:c>
      <x:c r="C28" s="131" t="n">
        <x:f>(ABS(M14)+ABS(M15)+ABS(M16)+ABS(M17)+ABS(M18))/5</x:f>
        <x:v>0</x:v>
      </x:c>
      <x:c r="D28" s="129" t="n">
        <x:f>COUNTIF(M14:M18,"&lt;&gt;0")</x:f>
        <x:v>0</x:v>
      </x:c>
      <x:c r="E28" s="45" t="str">
        <x:v>Stable and tied to named removal route.</x:v>
      </x:c>
    </x:row>
    <x:row r="29" ht="38" customHeight="1">
      <x:c r="A29" s="129" t="str">
        <x:v>S4</x:v>
      </x:c>
      <x:c r="B29" s="131" t="n">
        <x:f>SUM(N14:N18)/5</x:f>
        <x:v>0</x:v>
      </x:c>
      <x:c r="C29" s="131" t="n">
        <x:f>(ABS(N14)+ABS(N15)+ABS(N16)+ABS(N17)+ABS(N18))/5</x:f>
        <x:v>0</x:v>
      </x:c>
      <x:c r="D29" s="129" t="n">
        <x:f>COUNTIF(N14:N18,"&lt;&gt;0")</x:f>
        <x:v>0</x:v>
      </x:c>
      <x:c r="E29" s="45" t="str">
        <x:v>Not stressed in this extension.</x:v>
      </x:c>
    </x:row>
    <x:row r="30" ht="38" customHeight="1">
      <x:c r="A30" s="129" t="str">
        <x:v>V1</x:v>
      </x:c>
      <x:c r="B30" s="131" t="n">
        <x:f>SUM(O14:O18)/5</x:f>
        <x:v>0</x:v>
      </x:c>
      <x:c r="C30" s="131" t="n">
        <x:f>(ABS(O14)+ABS(O15)+ABS(O16)+ABS(O17)+ABS(O18))/5</x:f>
        <x:v>0</x:v>
      </x:c>
      <x:c r="D30" s="129" t="n">
        <x:f>COUNTIF(O14:O18,"&lt;&gt;0")</x:f>
        <x:v>0</x:v>
      </x:c>
      <x:c r="E30" s="45" t="str">
        <x:v>Stable.</x:v>
      </x:c>
    </x:row>
    <x:row r="31" ht="38" customHeight="1">
      <x:c r="A31" s="129" t="str">
        <x:v>V2</x:v>
      </x:c>
      <x:c r="B31" s="131" t="n">
        <x:f>SUM(P14:P18)/5</x:f>
        <x:v>0</x:v>
      </x:c>
      <x:c r="C31" s="131" t="n">
        <x:f>(ABS(P14)+ABS(P15)+ABS(P16)+ABS(P17)+ABS(P18))/5</x:f>
        <x:v>0</x:v>
      </x:c>
      <x:c r="D31" s="129" t="n">
        <x:f>COUNTIF(P14:P18,"&lt;&gt;0")</x:f>
        <x:v>0</x:v>
      </x:c>
      <x:c r="E31" s="45" t="str">
        <x:v>Stable when coherent bodying network is required.</x:v>
      </x:c>
    </x:row>
    <x:row r="32" ht="38" customHeight="1">
      <x:c r="A32" s="129" t="str">
        <x:v>V3</x:v>
      </x:c>
      <x:c r="B32" s="131" t="n">
        <x:f>SUM(Q14:Q18)/5</x:f>
        <x:v>0</x:v>
      </x:c>
      <x:c r="C32" s="131" t="n">
        <x:f>(ABS(Q14)+ABS(Q15)+ABS(Q16)+ABS(Q17)+ABS(Q18))/5</x:f>
        <x:v>0</x:v>
      </x:c>
      <x:c r="D32" s="129" t="n">
        <x:f>COUNTIF(Q14:Q18,"&lt;&gt;0")</x:f>
        <x:v>0</x:v>
      </x:c>
      <x:c r="E32" s="45" t="str">
        <x:v>Stable and dependent on OC/IC reset.</x:v>
      </x:c>
    </x:row>
    <x:row r="33" ht="38" customHeight="1">
      <x:c r="A33" s="129" t="str">
        <x:v>R1</x:v>
      </x:c>
      <x:c r="B33" s="131" t="n">
        <x:f>SUM(R14:R18)/5</x:f>
        <x:v>0</x:v>
      </x:c>
      <x:c r="C33" s="131" t="n">
        <x:f>(ABS(R14)+ABS(R15)+ABS(R16)+ABS(R17)+ABS(R18))/5</x:f>
        <x:v>0</x:v>
      </x:c>
      <x:c r="D33" s="129" t="n">
        <x:f>COUNTIF(R14:R18,"&lt;&gt;0")</x:f>
        <x:v>0</x:v>
      </x:c>
      <x:c r="E33" s="45" t="str">
        <x:v>Stable.</x:v>
      </x:c>
    </x:row>
    <x:row r="34" ht="38" customHeight="1">
      <x:c r="A34" s="129" t="str">
        <x:v>R2</x:v>
      </x:c>
      <x:c r="B34" s="131" t="n">
        <x:f>SUM(S14:S18)/5</x:f>
        <x:v>0.2</x:v>
      </x:c>
      <x:c r="C34" s="131" t="n">
        <x:f>(ABS(S14)+ABS(S15)+ABS(S16)+ABS(S17)+ABS(S18))/5</x:f>
        <x:v>0.2</x:v>
      </x:c>
      <x:c r="D34" s="129" t="n">
        <x:f>COUNTIF(S14:S18,"&lt;&gt;0")</x:f>
        <x:v>1</x:v>
      </x:c>
      <x:c r="E34" s="45" t="str">
        <x:v>One remaining judgment boundary: bodying film versus repair film.</x:v>
      </x:c>
    </x:row>
    <x:row r="35" ht="38" customHeight="1">
      <x:c r="A35" s="129" t="str">
        <x:v>R3</x:v>
      </x:c>
      <x:c r="B35" s="131" t="n">
        <x:f>SUM(T14:T18)/5</x:f>
        <x:v>-0.2</x:v>
      </x:c>
      <x:c r="C35" s="131" t="n">
        <x:f>(ABS(T14)+ABS(T15)+ABS(T16)+ABS(T17)+ABS(T18))/5</x:f>
        <x:v>0.2</x:v>
      </x:c>
      <x:c r="D35" s="129" t="n">
        <x:f>COUNTIF(T14:T18,"&lt;&gt;0")</x:f>
        <x:v>1</x:v>
      </x:c>
      <x:c r="E35" s="45" t="str">
        <x:v>One remaining boundary: generic branded bonding cue 0 versus 1.</x:v>
      </x:c>
    </x:row>
    <x:row r="36" ht="38" customHeight="1">
      <x:c r="A36" s="129" t="str">
        <x:v>R4</x:v>
      </x:c>
      <x:c r="B36" s="131" t="n">
        <x:f>SUM(U14:U18)/5</x:f>
        <x:v>0</x:v>
      </x:c>
      <x:c r="C36" s="131" t="n">
        <x:f>(ABS(U14)+ABS(U15)+ABS(U16)+ABS(U17)+ABS(U18))/5</x:f>
        <x:v>0</x:v>
      </x:c>
      <x:c r="D36" s="129" t="n">
        <x:f>COUNTIF(U14:U18,"&lt;&gt;0")</x:f>
        <x:v>0</x:v>
      </x:c>
      <x:c r="E36" s="45" t="str">
        <x:v>Stressor-route gate worked.</x:v>
      </x:c>
    </x:row>
    <x:row r="37" ht="38" customHeight="1">
      <x:c r="A37" s="129" t="str">
        <x:v>OC</x:v>
      </x:c>
      <x:c r="B37" s="131" t="n">
        <x:f>SUM(V14:V18)/5</x:f>
        <x:v>0</x:v>
      </x:c>
      <x:c r="C37" s="131" t="n">
        <x:f>(ABS(V14)+ABS(V15)+ABS(V16)+ABS(V17)+ABS(V18))/5</x:f>
        <x:v>0</x:v>
      </x:c>
      <x:c r="D37" s="129" t="n">
        <x:f>COUNTIF(V14:V18,"&lt;&gt;0")</x:f>
        <x:v>0</x:v>
      </x:c>
      <x:c r="E37" s="45" t="str">
        <x:v>Stable.</x:v>
      </x:c>
    </x:row>
    <x:row r="38" ht="38" customHeight="1">
      <x:c r="A38" s="129" t="str">
        <x:v>IC</x:v>
      </x:c>
      <x:c r="B38" s="131" t="n">
        <x:f>SUM(W14:W18)/5</x:f>
        <x:v>-0.2</x:v>
      </x:c>
      <x:c r="C38" s="131" t="n">
        <x:f>(ABS(W14)+ABS(W15)+ABS(W16)+ABS(W17)+ABS(W18))/5</x:f>
        <x:v>0.2</x:v>
      </x:c>
      <x:c r="D38" s="129" t="n">
        <x:f>COUNTIF(W14:W18,"&lt;&gt;0")</x:f>
        <x:v>1</x:v>
      </x:c>
      <x:c r="E38" s="45" t="str">
        <x:v>One remaining boundary for proprietary active mapping.</x:v>
      </x:c>
    </x:row>
    <x:row r="39" ht="38" customHeight="1">
      <x:c r="A39" s="46" t="str">
        <x:v>MILD</x:v>
      </x:c>
      <x:c r="B39" s="85" t="n">
        <x:f>SUM(X14:X18)/5</x:f>
        <x:v>0</x:v>
      </x:c>
      <x:c r="C39" s="85" t="n">
        <x:f>(ABS(X14)+ABS(X15)+ABS(X16)+ABS(X17)+ABS(X18))/5</x:f>
        <x:v>0</x:v>
      </x:c>
      <x:c r="D39" s="46" t="n">
        <x:f>COUNTIF(X14:X18,"&lt;&gt;0")</x:f>
        <x:v>0</x:v>
      </x:c>
      <x:c r="E39" s="47" t="str">
        <x:v>Stable; no sulfate-free shortcut used.</x:v>
      </x:c>
    </x:row>
  </x:sheetData>
  <x:mergeCells>
    <x:mergeCell ref="A1:Z1"/>
    <x:mergeCell ref="A2:Z2"/>
  </x:mergeCells>
  <x:conditionalFormatting sqref="H14:X18">
    <x:cfRule type="colorScale" priority="1">
      <x:colorScale>
        <x:cfvo type="min"/>
        <x:cfvo type="percentile" val="50"/>
        <x:cfvo type="max"/>
        <x:color rgb="FFF4A6A0"/>
        <x:color rgb="FFE6F4EA"/>
        <x:color rgb="FF7AC8BC"/>
      </x:colorScale>
    </x:cfRule>
  </x:conditionalFormatting>
  <x:conditionalFormatting sqref="B23:C39">
    <x:cfRule type="colorScale" priority="3">
      <x:colorScale>
        <x:cfvo type="min"/>
        <x:cfvo type="percentile" val="50"/>
        <x:cfvo type="max"/>
        <x:color rgb="FFF4A6A0"/>
        <x:color rgb="FFE6F4EA"/>
        <x:color rgb="FF7AC8BC"/>
      </x:colorScale>
    </x:cfRule>
  </x:conditionalFormatting>
  <x:conditionalFormatting sqref="C14:C18">
    <x:cfRule type="colorScale" priority="4">
      <x:colorScale>
        <x:cfvo type="min"/>
        <x:cfvo type="percentile" val="50"/>
        <x:cfvo type="max"/>
        <x:color rgb="FFE6F4EA"/>
        <x:color rgb="FFF3E7BD"/>
        <x:color rgb="FFFCE8E6"/>
      </x:colorScale>
    </x:cfRule>
  </x:conditionalFormatting>
  <x:conditionalFormatting sqref="F14:F18">
    <x:cfRule type="colorScale" priority="5">
      <x:colorScale>
        <x:cfvo type="min"/>
        <x:cfvo type="percentile" val="50"/>
        <x:cfvo type="max"/>
        <x:color rgb="FFE6F4EA"/>
        <x:color rgb="FFF3E7BD"/>
        <x:color rgb="FFFCE8E6"/>
      </x:colorScale>
    </x:cfRule>
  </x:conditionalFormatting>
  <x:pageMargins left="0.7" right="0.7" top="0.75" bottom="0.75" header="0.3" footer="0.3"/>
  <x:drawing xmlns:r="http://schemas.openxmlformats.org/officeDocument/2006/relationships" r:id="R7b7d62ee57714f0e"/>
</x:worksheet>
</file>

<file path=xl/worksheets/sheet15.xml><?xml version="1.0" encoding="utf-8"?>
<x:worksheet xmlns:x="http://schemas.openxmlformats.org/spreadsheetml/2006/main">
  <x:sheetFormatPr defaultRowHeight="15"/>
  <x:cols>
    <x:col min="1" max="1" width="24" hidden="0" customWidth="1"/>
    <x:col min="2" max="2" width="48" hidden="0" customWidth="1"/>
    <x:col min="3" max="3" width="62" hidden="0" customWidth="1"/>
    <x:col min="4" max="4" width="36" hidden="0" customWidth="1"/>
    <x:col min="5" max="5" width="48" hidden="0" customWidth="1"/>
  </x:cols>
  <x:sheetData>
    <x:row r="1" ht="34" customHeight="1">
      <x:c r="A1" s="137" t="str">
        <x:v>Calibration changes — v1.2</x:v>
      </x:c>
      <x:c r="B1" s="137"/>
      <x:c r="C1" s="137"/>
      <x:c r="D1" s="137"/>
      <x:c r="E1" s="137"/>
    </x:row>
    <x:row r="2" ht="32" customHeight="1">
      <x:c r="A2" s="141" t="str">
        <x:v>The revised system does not add more ingredient buzzwords. It adds gates, caps and mandatory uncertainty fields so that ingredient presence is not mistaken for performance magnitude.</x:v>
      </x:c>
      <x:c r="B2" s="141"/>
      <x:c r="C2" s="141"/>
      <x:c r="D2" s="141"/>
      <x:c r="E2" s="141"/>
    </x:row>
    <x:row r="4">
      <x:c r="A4" s="153" t="str">
        <x:v>Area</x:v>
      </x:c>
      <x:c r="B4" s="154" t="str">
        <x:v>v1.1 failure mode</x:v>
      </x:c>
      <x:c r="C4" s="154" t="str">
        <x:v>v1.2 revision</x:v>
      </x:c>
      <x:c r="D4" s="154" t="str">
        <x:v>Stress-test product</x:v>
      </x:c>
      <x:c r="E4" s="155" t="str">
        <x:v>Observed result</x:v>
      </x:c>
    </x:row>
    <x:row r="5" ht="68" customHeight="1">
      <x:c r="A5" s="129" t="str">
        <x:v>S2 acidic shine</x:v>
      </x:c>
      <x:c r="B5" s="129" t="str">
        <x:v>Any acid could over-trigger the route.</x:v>
      </x:c>
      <x:c r="C5" s="129" t="str">
        <x:v>Acid alone capped at 1; score 2+ needs pH/coherent architecture.</x:v>
      </x:c>
      <x:c r="D5" s="129" t="str">
        <x:v>Redken vs OGX</x:v>
      </x:c>
      <x:c r="E5" s="45" t="str">
        <x:v>Redken S2 3; OGX S2 1.</x:v>
      </x:c>
    </x:row>
    <x:row r="6" ht="68" customHeight="1">
      <x:c r="A6" s="129" t="str">
        <x:v>R4 prevention</x:v>
      </x:c>
      <x:c r="B6" s="129" t="str">
        <x:v>Generic conditioning was treated as protection.</x:v>
      </x:c>
      <x:c r="C6" s="129" t="str">
        <x:v>Every score 2+ names a stressor and matching route.</x:v>
      </x:c>
      <x:c r="D6" s="129" t="str">
        <x:v>Redken, Metal DX, Balea Oil Repair</x:v>
      </x:c>
      <x:c r="E6" s="45" t="str">
        <x:v>Targeted Metal DX R4 3; generic Oil Repair stays 1.</x:v>
      </x:c>
    </x:row>
    <x:row r="7" ht="68" customHeight="1">
      <x:c r="A7" s="129" t="str">
        <x:v>V2/R2 proteins/polymers</x:v>
      </x:c>
      <x:c r="B7" s="129" t="str">
        <x:v>Every protein/polymer could imply body and repair.</x:v>
      </x:c>
      <x:c r="C7" s="129" t="str">
        <x:v>Require substantive delivery and endpoint specificity.</x:v>
      </x:c>
      <x:c r="D7" s="129" t="str">
        <x:v>OGX and Balea Tiefenreinigung</x:v>
      </x:c>
      <x:c r="E7" s="45" t="str">
        <x:v>OGX V2 3 / R2 2; isolated keratin remains 1.</x:v>
      </x:c>
    </x:row>
    <x:row r="8" ht="68" customHeight="1">
      <x:c r="A8" s="129" t="str">
        <x:v>WT weight</x:v>
      </x:c>
      <x:c r="B8" s="129" t="str">
        <x:v>Silicone/oil/polymer counts inflated weight.</x:v>
      </x:c>
      <x:c r="C8" s="129" t="str">
        <x:v>Report deposition, persistence and reset capacity.</x:v>
      </x:c>
      <x:c r="D8" s="129" t="str">
        <x:v>Balea Oil Repair, Redken</x:v>
      </x:c>
      <x:c r="E8" s="45" t="str">
        <x:v>Both remain WT 2 rather than 3–4.</x:v>
      </x:c>
    </x:row>
    <x:row r="9" ht="68" customHeight="1">
      <x:c r="A9" s="129" t="str">
        <x:v>IC chelation</x:v>
      </x:c>
      <x:c r="B9" s="129" t="str">
        <x:v>One chelator or a broad claim could imply demineralization.</x:v>
      </x:c>
      <x:c r="C9" s="129" t="str">
        <x:v>Single late generic chelator capped; proprietary mapping uncertainty stored.</x:v>
      </x:c>
      <x:c r="D9" s="129" t="str">
        <x:v>Balea Tiefenreinigung, Metal DX</x:v>
      </x:c>
      <x:c r="E9" s="45" t="str">
        <x:v>Balea IC 0; Metal DX IC 2 with moderate formula confidence.</x:v>
      </x:c>
    </x:row>
    <x:row r="10" ht="68" customHeight="1">
      <x:c r="A10" s="129" t="str">
        <x:v>Evidence scope</x:v>
      </x:c>
      <x:c r="B10" s="129" t="str">
        <x:v>Routine test results could leak into shampoo scores.</x:v>
      </x:c>
      <x:c r="C10" s="129" t="str">
        <x:v>Finished-product studies alter E-level only.</x:v>
      </x:c>
      <x:c r="D10" s="129" t="str">
        <x:v>Metal DX</x:v>
      </x:c>
      <x:c r="E10" s="45" t="str">
        <x:v>E4 multi-product; formula scores unchanged.</x:v>
      </x:c>
    </x:row>
    <x:row r="11" ht="68" customHeight="1">
      <x:c r="A11" s="46" t="str">
        <x:v>Identity integrity</x:v>
      </x:c>
      <x:c r="B11" s="46" t="str">
        <x:v>Same product name could hide version changes.</x:v>
      </x:c>
      <x:c r="C11" s="46" t="str">
        <x:v>Conflict stop condition and provisional output.</x:v>
      </x:c>
      <x:c r="D11" s="46" t="str">
        <x:v>Balea Oil Repair</x:v>
      </x:c>
      <x:c r="E11" s="47" t="str">
        <x:v>Live/cached German GTIN conflict retained explicitly.</x:v>
      </x:c>
    </x:row>
  </x:sheetData>
  <x:mergeCells>
    <x:mergeCell ref="A1:E1"/>
    <x:mergeCell ref="A2:E2"/>
  </x:mergeCells>
  <x:pageMargins left="0.7" right="0.7" top="0.75" bottom="0.75" header="0.3" footer="0.3"/>
</x:worksheet>
</file>

<file path=xl/worksheets/sheet16.xml><?xml version="1.0" encoding="utf-8"?>
<x:worksheet xmlns:x="http://schemas.openxmlformats.org/spreadsheetml/2006/main">
  <x:sheetFormatPr defaultRowHeight="15"/>
  <x:cols>
    <x:col min="1" max="1" width="24" hidden="0" customWidth="1"/>
    <x:col min="2" max="2" width="42" hidden="0" customWidth="1"/>
    <x:col min="3" max="3" width="23" hidden="0" customWidth="1"/>
    <x:col min="4" max="4" width="48" hidden="0" customWidth="1"/>
    <x:col min="5" max="5" width="23" hidden="0" customWidth="1"/>
    <x:col min="6" max="6" width="42" hidden="0" customWidth="1"/>
    <x:col min="7" max="7" width="44" hidden="0" customWidth="1"/>
    <x:col min="8" max="8" width="44" hidden="0" customWidth="1"/>
  </x:cols>
  <x:sheetData>
    <x:row r="1" ht="34" customHeight="1">
      <x:c r="A1" s="190" t="str">
        <x:v>Minimum viable explainable matching model</x:v>
      </x:c>
      <x:c r="B1" s="190"/>
      <x:c r="C1" s="190"/>
      <x:c r="D1" s="190"/>
      <x:c r="E1" s="190"/>
      <x:c r="F1" s="190"/>
      <x:c r="G1" s="190"/>
      <x:c r="H1" s="190"/>
    </x:row>
    <x:row r="2" ht="32" customHeight="1">
      <x:c r="A2" s="194" t="str">
        <x:v>Keep the detailed route scores as the audit layer. The application-facing layer uses a small set of direct product properties and derived fits, each backed by its own evidence record.</x:v>
      </x:c>
      <x:c r="B2" s="194"/>
      <x:c r="C2" s="194"/>
      <x:c r="D2" s="194"/>
      <x:c r="E2" s="194"/>
      <x:c r="F2" s="194"/>
      <x:c r="G2" s="194"/>
      <x:c r="H2" s="194"/>
    </x:row>
    <x:row r="4">
      <x:c r="A4" s="206" t="str">
        <x:v>Field</x:v>
      </x:c>
      <x:c r="B4" s="207" t="str">
        <x:v>Required values</x:v>
      </x:c>
      <x:c r="C4" s="207" t="str">
        <x:v>Type</x:v>
      </x:c>
      <x:c r="D4" s="207" t="str">
        <x:v>Primary upstream inputs</x:v>
      </x:c>
      <x:c r="E4" s="207" t="str">
        <x:v>Normal confidence ceiling</x:v>
      </x:c>
      <x:c r="F4" s="207" t="str">
        <x:v>Why it is useful</x:v>
      </x:c>
      <x:c r="G4" s="208" t="str">
        <x:v>Implementation note</x:v>
      </x:c>
    </x:row>
    <x:row r="5" ht="72" customHeight="1">
      <x:c r="A5" s="129" t="str">
        <x:v>cleansing_strength</x:v>
      </x:c>
      <x:c r="B5" s="129" t="str">
        <x:v>low / moderate / strong / clarifying</x:v>
      </x:c>
      <x:c r="C5" s="129" t="str">
        <x:v>Direct product property</x:v>
      </x:c>
      <x:c r="D5" s="129" t="str">
        <x:v>Surfactant architecture; OC; IC; use directions</x:v>
      </x:c>
      <x:c r="E5" s="129" t="str">
        <x:v>Moderately high</x:v>
      </x:c>
      <x:c r="F5" s="129" t="str">
        <x:v>Determines whether cleansing matches sebum, buildup and use frequency.</x:v>
      </x:c>
      <x:c r="G5" s="45" t="str">
        <x:v>Use broad bands; do not pretend to know exact surfactant active matter.</x:v>
      </x:c>
    </x:row>
    <x:row r="6" ht="72" customHeight="1">
      <x:c r="A6" s="129" t="str">
        <x:v>conditioning_level</x:v>
      </x:c>
      <x:c r="B6" s="129" t="str">
        <x:v>low / moderate / high</x:v>
      </x:c>
      <x:c r="C6" s="129" t="str">
        <x:v>Direct product property</x:v>
      </x:c>
      <x:c r="D6" s="129" t="str">
        <x:v>Cationic deposition; silicones; lipids/amines; R1</x:v>
      </x:c>
      <x:c r="E6" s="129" t="str">
        <x:v>Moderately high</x:v>
      </x:c>
      <x:c r="F6" s="129" t="str">
        <x:v>Explains care, slip and damage support.</x:v>
      </x:c>
      <x:c r="G6" s="45" t="str">
        <x:v>Keep separate from weight.</x:v>
      </x:c>
    </x:row>
    <x:row r="7" ht="72" customHeight="1">
      <x:c r="A7" s="129" t="str">
        <x:v>weight_potential</x:v>
      </x:c>
      <x:c r="B7" s="129" t="str">
        <x:v>low / moderate / high</x:v>
      </x:c>
      <x:c r="C7" s="129" t="str">
        <x:v>Direct product property</x:v>
      </x:c>
      <x:c r="D7" s="129" t="str">
        <x:v>Deposition load; persistence; accumulation; reset capacity</x:v>
      </x:c>
      <x:c r="E7" s="129" t="str">
        <x:v>Moderate</x:v>
      </x:c>
      <x:c r="F7" s="129" t="str">
        <x:v>Essential for fine-hair and oily-root matching.</x:v>
      </x:c>
      <x:c r="G7" s="45" t="str">
        <x:v>One depositor cannot create a high score by itself.</x:v>
      </x:c>
    </x:row>
    <x:row r="8" ht="72" customHeight="1">
      <x:c r="A8" s="129" t="str">
        <x:v>focus.primary</x:v>
      </x:c>
      <x:c r="B8" s="129" t="str">
        <x:v>volume / shine / repair / clarifying / scalp-active / gentle / general</x:v>
      </x:c>
      <x:c r="C8" s="129" t="str">
        <x:v>Direct product interpretation</x:v>
      </x:c>
      <x:c r="D8" s="129" t="str">
        <x:v>Strongest coherent route + claim audit</x:v>
      </x:c>
      <x:c r="E8" s="129" t="str">
        <x:v>High</x:v>
      </x:c>
      <x:c r="F8" s="129" t="str">
        <x:v>Provides the main product direction.</x:v>
      </x:c>
      <x:c r="G8" s="45" t="str">
        <x:v>Do not copy the product name; explain the mechanism.</x:v>
      </x:c>
    </x:row>
    <x:row r="9" ht="72" customHeight="1">
      <x:c r="A9" s="129" t="str">
        <x:v>focus.secondary</x:v>
      </x:c>
      <x:c r="B9" s="129" t="str">
        <x:v>zero to two values from the focus list</x:v>
      </x:c>
      <x:c r="C9" s="129" t="str">
        <x:v>Direct product interpretation</x:v>
      </x:c>
      <x:c r="D9" s="129" t="str">
        <x:v>Secondary coherent routes</x:v>
      </x:c>
      <x:c r="E9" s="129" t="str">
        <x:v>Moderately high</x:v>
      </x:c>
      <x:c r="F9" s="129" t="str">
        <x:v>Preserves useful hybrid products.</x:v>
      </x:c>
      <x:c r="G9" s="45" t="str">
        <x:v>Do not use 'hybrid' as a substitute for ranking the directions.</x:v>
      </x:c>
    </x:row>
    <x:row r="10" ht="72" customHeight="1">
      <x:c r="A10" s="129" t="str">
        <x:v>usage_role</x:v>
      </x:c>
      <x:c r="B10" s="129" t="str">
        <x:v>frequent / regular / alternating / occasional-reset / treatment</x:v>
      </x:c>
      <x:c r="C10" s="129" t="str">
        <x:v>Direct product interpretation</x:v>
      </x:c>
      <x:c r="D10" s="129" t="str">
        <x:v>Cleansing; conditioning; actives; directions</x:v>
      </x:c>
      <x:c r="E10" s="129" t="str">
        <x:v>Moderate</x:v>
      </x:c>
      <x:c r="F10" s="129" t="str">
        <x:v>Prevents a good weekly reset product from becoming a poor daily recommendation.</x:v>
      </x:c>
      <x:c r="G10" s="45" t="str">
        <x:v>Store routine dependency explicitly.</x:v>
      </x:c>
    </x:row>
    <x:row r="11" ht="72" customHeight="1">
      <x:c r="A11" s="129" t="str">
        <x:v>hair_thickness_fit</x:v>
      </x:c>
      <x:c r="B11" s="129" t="str">
        <x:v>recommended / conditional / neutral / caution / unknown for fine, medium, coarse</x:v>
      </x:c>
      <x:c r="C11" s="129" t="str">
        <x:v>Derived user fit</x:v>
      </x:c>
      <x:c r="D11" s="129" t="str">
        <x:v>Weight; conditioning; cleansing; volume route; damage context</x:v>
      </x:c>
      <x:c r="E11" s="129" t="str">
        <x:v>Moderate</x:v>
      </x:c>
      <x:c r="F11" s="129" t="str">
        <x:v>Maps the product to strand diameter without treating thickness as the only variable.</x:v>
      </x:c>
      <x:c r="G11" s="45" t="str">
        <x:v>Fine damaged hair can need more care than fine healthy hair.</x:v>
      </x:c>
    </x:row>
    <x:row r="12" ht="72" customHeight="1">
      <x:c r="A12" s="46" t="str">
        <x:v>scalp_fit</x:v>
      </x:c>
      <x:c r="B12" s="46" t="str">
        <x:v>recommended / conditional / neutral / caution / unknown for oily, normal, dry, sensitive</x:v>
      </x:c>
      <x:c r="C12" s="46" t="str">
        <x:v>Derived user fit</x:v>
      </x:c>
      <x:c r="D12" s="46" t="str">
        <x:v>Cleansing; OC; mildness; refatting; exposure flags; active evidence</x:v>
      </x:c>
      <x:c r="E12" s="46" t="str">
        <x:v>Variable</x:v>
      </x:c>
      <x:c r="F12" s="46" t="str">
        <x:v>Maps cleansing and exposure to scalp needs.</x:v>
      </x:c>
      <x:c r="G12" s="47" t="str">
        <x:v>Sensitive-scalp safety is never proven by INCI alone.</x:v>
      </x:c>
    </x:row>
    <x:row r="15">
      <x:c r="A15" s="219" t="str">
        <x:v>Evidence field</x:v>
      </x:c>
      <x:c r="B15" s="220" t="str">
        <x:v>Required meaning</x:v>
      </x:c>
      <x:c r="C15" s="220" t="str">
        <x:v>Required?</x:v>
      </x:c>
      <x:c r="D15" s="220" t="str">
        <x:v>Example</x:v>
      </x:c>
      <x:c r="E15" s="220" t="str">
        <x:v>Failure mode prevented</x:v>
      </x:c>
      <x:c r="F15" s="221" t="str">
        <x:v>Storage recommendation</x:v>
      </x:c>
    </x:row>
    <x:row r="16" ht="64" customHeight="1">
      <x:c r="A16" s="129" t="str">
        <x:v>value</x:v>
      </x:c>
      <x:c r="B16" s="129" t="str">
        <x:v>The actual classification or fit label</x:v>
      </x:c>
      <x:c r="C16" s="129" t="str">
        <x:v>Yes</x:v>
      </x:c>
      <x:c r="D16" s="129" t="str">
        <x:v>conditional</x:v>
      </x:c>
      <x:c r="E16" s="129" t="str">
        <x:v>A label with no defined output</x:v>
      </x:c>
      <x:c r="F16" s="45" t="str">
        <x:v>Text or enum</x:v>
      </x:c>
    </x:row>
    <x:row r="17" ht="64" customHeight="1">
      <x:c r="A17" s="129" t="str">
        <x:v>decision_type</x:v>
      </x:c>
      <x:c r="B17" s="129" t="str">
        <x:v>direct_product_property or derived_user_fit</x:v>
      </x:c>
      <x:c r="C17" s="129" t="str">
        <x:v>Yes</x:v>
      </x:c>
      <x:c r="D17" s="129" t="str">
        <x:v>derived_user_fit</x:v>
      </x:c>
      <x:c r="E17" s="129" t="str">
        <x:v>Confusing product behavior with user suitability</x:v>
      </x:c>
      <x:c r="F17" s="45" t="str">
        <x:v>Enum</x:v>
      </x:c>
    </x:row>
    <x:row r="18" ht="64" customHeight="1">
      <x:c r="A18" s="129" t="str">
        <x:v>confidence</x:v>
      </x:c>
      <x:c r="B18" s="129" t="str">
        <x:v>Low, moderate or high confidence in this exact conclusion</x:v>
      </x:c>
      <x:c r="C18" s="129" t="str">
        <x:v>Yes</x:v>
      </x:c>
      <x:c r="D18" s="129" t="str">
        <x:v>moderate</x:v>
      </x:c>
      <x:c r="E18" s="129" t="str">
        <x:v>One global confidence being reused for every property</x:v>
      </x:c>
      <x:c r="F18" s="45" t="str">
        <x:v>Enum</x:v>
      </x:c>
    </x:row>
    <x:row r="19" ht="64" customHeight="1">
      <x:c r="A19" s="129" t="str">
        <x:v>evidence_level</x:v>
      </x:c>
      <x:c r="B19" s="129" t="str">
        <x:v>E0–E5 for the support most relevant to this property</x:v>
      </x:c>
      <x:c r="C19" s="129" t="str">
        <x:v>Yes</x:v>
      </x:c>
      <x:c r="D19" s="129" t="str">
        <x:v>E2</x:v>
      </x:c>
      <x:c r="E19" s="129" t="str">
        <x:v>Formula plausibility being presented as measured efficacy</x:v>
      </x:c>
      <x:c r="F19" s="45" t="str">
        <x:v>Enum</x:v>
      </x:c>
    </x:row>
    <x:row r="20" ht="64" customHeight="1">
      <x:c r="A20" s="129" t="str">
        <x:v>evidence_scope</x:v>
      </x:c>
      <x:c r="B20" s="129" t="str">
        <x:v>Formula only, shampoo-only test, multi-product test or unclear</x:v>
      </x:c>
      <x:c r="C20" s="129" t="str">
        <x:v>Yes</x:v>
      </x:c>
      <x:c r="D20" s="129" t="str">
        <x:v>formula_only</x:v>
      </x:c>
      <x:c r="E20" s="129" t="str">
        <x:v>Routine results being assigned to one shampoo</x:v>
      </x:c>
      <x:c r="F20" s="45" t="str">
        <x:v>Enum</x:v>
      </x:c>
    </x:row>
    <x:row r="21" ht="64" customHeight="1">
      <x:c r="A21" s="129" t="str">
        <x:v>rationale</x:v>
      </x:c>
      <x:c r="B21" s="129" t="str">
        <x:v>One or two sentences answering why</x:v>
      </x:c>
      <x:c r="C21" s="129" t="str">
        <x:v>Yes</x:v>
      </x:c>
      <x:c r="D21" s="129" t="str">
        <x:v>Moderate deposition may help damaged fine hair but can add weight.</x:v>
      </x:c>
      <x:c r="E21" s="129" t="str">
        <x:v>Naked labels that agents cannot explain</x:v>
      </x:c>
      <x:c r="F21" s="45" t="str">
        <x:v>Text</x:v>
      </x:c>
    </x:row>
    <x:row r="22" ht="64" customHeight="1">
      <x:c r="A22" s="129" t="str">
        <x:v>formula_observations</x:v>
      </x:c>
      <x:c r="B22" s="129" t="str">
        <x:v>Exact INCI or test facts</x:v>
      </x:c>
      <x:c r="C22" s="129" t="str">
        <x:v>Yes</x:v>
      </x:c>
      <x:c r="D22" s="129" t="str">
        <x:v>Dimethicone + Amodimethicone + cationic guar; SLES-led cleansing.</x:v>
      </x:c>
      <x:c r="E22" s="129" t="str">
        <x:v>Jumping directly from ingredient to fit</x:v>
      </x:c>
      <x:c r="F22" s="45" t="str">
        <x:v>JSON array or text</x:v>
      </x:c>
    </x:row>
    <x:row r="23" ht="64" customHeight="1">
      <x:c r="A23" s="129" t="str">
        <x:v>product_inferences</x:v>
      </x:c>
      <x:c r="B23" s="129" t="str">
        <x:v>What the observations imply about product behavior</x:v>
      </x:c>
      <x:c r="C23" s="129" t="str">
        <x:v>Yes</x:v>
      </x:c>
      <x:c r="D23" s="129" t="str">
        <x:v>Conditioning high; weight moderate; cleansing strong.</x:v>
      </x:c>
      <x:c r="E23" s="129" t="str">
        <x:v>Missing middle step in the evidence chain</x:v>
      </x:c>
      <x:c r="F23" s="45" t="str">
        <x:v>JSON array or text</x:v>
      </x:c>
    </x:row>
    <x:row r="24" ht="64" customHeight="1">
      <x:c r="A24" s="129" t="str">
        <x:v>counter_signals</x:v>
      </x:c>
      <x:c r="B24" s="129" t="str">
        <x:v>Facts, trade-offs or unknowns limiting the decision</x:v>
      </x:c>
      <x:c r="C24" s="129" t="str">
        <x:v>Yes</x:v>
      </x:c>
      <x:c r="D24" s="129" t="str">
        <x:v>May flatten healthy very-fine hair with low cleansing need.</x:v>
      </x:c>
      <x:c r="E24" s="129" t="str">
        <x:v>Overconfident one-sided explanations</x:v>
      </x:c>
      <x:c r="F24" s="45" t="str">
        <x:v>JSON array or text</x:v>
      </x:c>
    </x:row>
    <x:row r="25" ht="64" customHeight="1">
      <x:c r="A25" s="129" t="str">
        <x:v>derived_from</x:v>
      </x:c>
      <x:c r="B25" s="129" t="str">
        <x:v>Upstream properties used for a fit conclusion</x:v>
      </x:c>
      <x:c r="C25" s="129" t="str">
        <x:v>For derived fit</x:v>
      </x:c>
      <x:c r="D25" s="129" t="str">
        <x:v>conditioning_level; weight_potential; cleansing_strength; damage_context</x:v>
      </x:c>
      <x:c r="E25" s="129" t="str">
        <x:v>Pretending one ingredient directly proves suitability</x:v>
      </x:c>
      <x:c r="F25" s="45" t="str">
        <x:v>Array</x:v>
      </x:c>
    </x:row>
    <x:row r="26" ht="64" customHeight="1">
      <x:c r="A26" s="129" t="str">
        <x:v>source_ids</x:v>
      </x:c>
      <x:c r="B26" s="129" t="str">
        <x:v>Exact formula, claim and test sources</x:v>
      </x:c>
      <x:c r="C26" s="129" t="str">
        <x:v>Yes</x:v>
      </x:c>
      <x:c r="D26" s="129" t="str">
        <x:v>formula_1; claim_2</x:v>
      </x:c>
      <x:c r="E26" s="129" t="str">
        <x:v>Unauditable conclusions</x:v>
      </x:c>
      <x:c r="F26" s="45" t="str">
        <x:v>Array</x:v>
      </x:c>
    </x:row>
    <x:row r="27" ht="64" customHeight="1">
      <x:c r="A27" s="46" t="str">
        <x:v>shared_mechanism_ids</x:v>
      </x:c>
      <x:c r="B27" s="46" t="str">
        <x:v>Marks several properties relying on the same mechanism</x:v>
      </x:c>
      <x:c r="C27" s="46" t="str">
        <x:v>Recommended</x:v>
      </x:c>
      <x:c r="D27" s="46" t="str">
        <x:v>silicone_cationic_deposition_1</x:v>
      </x:c>
      <x:c r="E27" s="46" t="str">
        <x:v>Double-counting one system as independent evidence</x:v>
      </x:c>
      <x:c r="F27" s="47" t="str">
        <x:v>Array</x:v>
      </x:c>
    </x:row>
    <x:row r="30">
      <x:c r="A30" s="206" t="str">
        <x:v>Output</x:v>
      </x:c>
      <x:c r="B30" s="207" t="str">
        <x:v>Derivation rule</x:v>
      </x:c>
      <x:c r="C30" s="207" t="str">
        <x:v>Default wording</x:v>
      </x:c>
      <x:c r="D30" s="208" t="str">
        <x:v>Key caution</x:v>
      </x:c>
      <x:c r="F30" s="219" t="str">
        <x:v>Three-step chain</x:v>
      </x:c>
      <x:c r="G30" s="220" t="str">
        <x:v>Question</x:v>
      </x:c>
      <x:c r="H30" s="221" t="str">
        <x:v>Example</x:v>
      </x:c>
    </x:row>
    <x:row r="31" ht="58" customHeight="1">
      <x:c r="A31" s="129" t="str">
        <x:v>Cleansing strength</x:v>
      </x:c>
      <x:c r="B31" s="129" t="str">
        <x:v>Surfactants + OC + IC + use role</x:v>
      </x:c>
      <x:c r="C31" s="129" t="str">
        <x:v>Low / moderate / strong / clarifying cleansing potential</x:v>
      </x:c>
      <x:c r="D31" s="45" t="str">
        <x:v>Conditioning after-feel does not erase cleansing capacity.</x:v>
      </x:c>
      <x:c r="F31" s="129" t="str">
        <x:v>1. Formula observation</x:v>
      </x:c>
      <x:c r="G31" s="129" t="str">
        <x:v>What is objectively present?</x:v>
      </x:c>
      <x:c r="H31" s="45" t="str">
        <x:v>Amodimethicone + cationic polymer; efficient anionic cleanser.</x:v>
      </x:c>
    </x:row>
    <x:row r="32" ht="58" customHeight="1">
      <x:c r="A32" s="129" t="str">
        <x:v>Product focus</x:v>
      </x:c>
      <x:c r="B32" s="129" t="str">
        <x:v>Highest coherent route, then up to two secondary routes</x:v>
      </x:c>
      <x:c r="C32" s="129" t="str">
        <x:v>Leans [primary], with secondary [direction]</x:v>
      </x:c>
      <x:c r="D32" s="45" t="str">
        <x:v>Marketing wording is not the classification.</x:v>
      </x:c>
      <x:c r="F32" s="129" t="str">
        <x:v>2. Product inference</x:v>
      </x:c>
      <x:c r="G32" s="129" t="str">
        <x:v>What behavior is plausible?</x:v>
      </x:c>
      <x:c r="H32" s="45" t="str">
        <x:v>Conditioning high; weight moderate; cleansing strong.</x:v>
      </x:c>
    </x:row>
    <x:row r="33" ht="58" customHeight="1">
      <x:c r="A33" s="129" t="str">
        <x:v>Hair-thickness fit</x:v>
      </x:c>
      <x:c r="B33" s="129" t="str">
        <x:v>Weight + conditioning + cleansing + volume + damage context</x:v>
      </x:c>
      <x:c r="C33" s="129" t="str">
        <x:v>Recommended / conditional / caution for [fine/medium/coarse]</x:v>
      </x:c>
      <x:c r="D33" s="45" t="str">
        <x:v>Fine damaged and fine healthy hair may need different compromises.</x:v>
      </x:c>
      <x:c r="F33" s="46" t="str">
        <x:v>3. User-fit decision</x:v>
      </x:c>
      <x:c r="G33" s="46" t="str">
        <x:v>Why does that suit this profile?</x:v>
      </x:c>
      <x:c r="H33" s="47" t="str">
        <x:v>Fine-hair fit conditional: useful for damaged fine hair, possibly flattening for healthy very-fine hair.</x:v>
      </x:c>
    </x:row>
    <x:row r="34" ht="62" customHeight="1">
      <x:c r="A34" s="46" t="str">
        <x:v>Scalp-type fit</x:v>
      </x:c>
      <x:c r="B34" s="46" t="str">
        <x:v>Oily: CLN/OC/WT; dry: CLN/MILD/refatting; sensitive: exposure + tolerance evidence</x:v>
      </x:c>
      <x:c r="C34" s="46" t="str">
        <x:v>Recommended / conditional / caution / unknown</x:v>
      </x:c>
      <x:c r="D34" s="47" t="str">
        <x:v>Sensitive-scalp fit normally has a lower confidence ceiling.</x:v>
      </x:c>
    </x:row>
    <x:row r="35" ht="24" customHeight="1">
      <x:c r="F35" s="224" t="str">
        <x:v>NO NAKED LABEL</x:v>
      </x:c>
      <x:c r="G35" s="224"/>
      <x:c r="H35" s="224"/>
    </x:row>
    <x:row r="36" ht="50" customHeight="1">
      <x:c r="F36" s="228" t="str">
        <x:v>Invalid: “Amodimethicone present → suitable for coarse hair.” Valid: ingredient observation → deposition/weight inference → thickness-fit decision with trade-offs.</x:v>
      </x:c>
      <x:c r="G36" s="228"/>
      <x:c r="H36" s="228"/>
    </x:row>
    <x:row r="37" ht="50" customHeight="1">
      <x:c r="F37" s="228"/>
      <x:c r="G37" s="228"/>
      <x:c r="H37" s="228"/>
    </x:row>
  </x:sheetData>
  <x:mergeCells>
    <x:mergeCell ref="A1:H1"/>
    <x:mergeCell ref="A2:H2"/>
    <x:mergeCell ref="F35:H35"/>
    <x:mergeCell ref="F36:H37"/>
  </x:mergeCells>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29" hidden="0" customWidth="1"/>
    <x:col min="3" max="3" width="19" hidden="0" customWidth="1"/>
    <x:col min="4" max="4" width="24" hidden="0" customWidth="1"/>
    <x:col min="5" max="5" width="17" hidden="0" customWidth="1"/>
    <x:col min="6" max="6" width="17" hidden="0" customWidth="1"/>
    <x:col min="7" max="7" width="17" hidden="0" customWidth="1"/>
    <x:col min="8" max="8" width="52" hidden="0" customWidth="1"/>
    <x:col min="9" max="9" width="54" hidden="0" customWidth="1"/>
    <x:col min="10" max="10" width="48" hidden="0" customWidth="1"/>
    <x:col min="11" max="11" width="48" hidden="0" customWidth="1"/>
    <x:col min="12" max="12" width="46" hidden="0" customWidth="1"/>
    <x:col min="13" max="13" width="26" hidden="0" customWidth="1"/>
    <x:col min="14" max="14" width="26" hidden="0" customWidth="1"/>
    <x:col min="15" max="15" width="17" hidden="0" customWidth="1"/>
    <x:col min="16" max="16" width="17" hidden="0" customWidth="1"/>
  </x:cols>
  <x:sheetData>
    <x:row r="1" ht="34" customHeight="1">
      <x:c r="A1" s="190" t="str">
        <x:v>Property evidence template</x:v>
      </x:c>
      <x:c r="B1" s="190"/>
      <x:c r="C1" s="190"/>
      <x:c r="D1" s="190"/>
      <x:c r="E1" s="190"/>
      <x:c r="F1" s="190"/>
      <x:c r="G1" s="190"/>
      <x:c r="H1" s="190"/>
      <x:c r="I1" s="190"/>
      <x:c r="J1" s="190"/>
      <x:c r="K1" s="190"/>
      <x:c r="L1" s="190"/>
      <x:c r="M1" s="190"/>
      <x:c r="N1" s="190"/>
      <x:c r="O1" s="190"/>
      <x:c r="P1" s="190"/>
    </x:row>
    <x:row r="2" ht="32" customHeight="1">
      <x:c r="A2" s="194" t="str">
        <x:v>Duplicate this block for each product. A classification is complete only when the value, evidence chain, counter-signals, confidence and sources are recorded.</x:v>
      </x:c>
      <x:c r="B2" s="194"/>
      <x:c r="C2" s="194"/>
      <x:c r="D2" s="194"/>
      <x:c r="E2" s="194"/>
      <x:c r="F2" s="194"/>
      <x:c r="G2" s="194"/>
      <x:c r="H2" s="194"/>
      <x:c r="I2" s="194"/>
      <x:c r="J2" s="194"/>
      <x:c r="K2" s="194"/>
      <x:c r="L2" s="194"/>
      <x:c r="M2" s="194"/>
      <x:c r="N2" s="194"/>
      <x:c r="O2" s="194"/>
      <x:c r="P2" s="194"/>
    </x:row>
    <x:row r="5">
      <x:c r="A5" s="206" t="str">
        <x:v>Product ID</x:v>
      </x:c>
      <x:c r="B5" s="207" t="str">
        <x:v>Property key</x:v>
      </x:c>
      <x:c r="C5" s="207" t="str">
        <x:v>Value</x:v>
      </x:c>
      <x:c r="D5" s="207" t="str">
        <x:v>Decision type</x:v>
      </x:c>
      <x:c r="E5" s="207" t="str">
        <x:v>Confidence</x:v>
      </x:c>
      <x:c r="F5" s="207" t="str">
        <x:v>Evidence level</x:v>
      </x:c>
      <x:c r="G5" s="207" t="str">
        <x:v>Evidence scope</x:v>
      </x:c>
      <x:c r="H5" s="207" t="str">
        <x:v>Rationale</x:v>
      </x:c>
      <x:c r="I5" s="207" t="str">
        <x:v>Formula observation(s)</x:v>
      </x:c>
      <x:c r="J5" s="207" t="str">
        <x:v>Product-property inference(s)</x:v>
      </x:c>
      <x:c r="K5" s="207" t="str">
        <x:v>Counter-signals / trade-offs</x:v>
      </x:c>
      <x:c r="L5" s="207" t="str">
        <x:v>Derived from</x:v>
      </x:c>
      <x:c r="M5" s="207" t="str">
        <x:v>Source IDs</x:v>
      </x:c>
      <x:c r="N5" s="207" t="str">
        <x:v>Shared mechanism IDs</x:v>
      </x:c>
      <x:c r="O5" s="207" t="str">
        <x:v>Completeness</x:v>
      </x:c>
      <x:c r="P5" s="208" t="str">
        <x:v>Review status</x:v>
      </x:c>
    </x:row>
    <x:row r="6" ht="78" customHeight="1">
      <x:c r="A6" s="129" t="str"/>
      <x:c r="B6" s="129" t="str">
        <x:v>cleansing_strength</x:v>
      </x:c>
      <x:c r="C6" s="129" t="str"/>
      <x:c r="D6" s="129" t="str">
        <x:v>direct_product_property</x:v>
      </x:c>
      <x:c r="E6" s="129" t="str"/>
      <x:c r="F6" s="129" t="str"/>
      <x:c r="G6" s="129" t="str"/>
      <x:c r="H6" s="129" t="str"/>
      <x:c r="I6" s="129" t="str"/>
      <x:c r="J6" s="129" t="str"/>
      <x:c r="K6" s="129" t="str"/>
      <x:c r="L6" s="129" t="str"/>
      <x:c r="M6" s="129" t="str"/>
      <x:c r="N6" s="129" t="str"/>
      <x:c r="O6" s="129" t="str">
        <x:f>IF(OR(C6="",D6="",E6="",F6="",G6="",H6="",I6="",J6="",K6="",M6="",AND(D6="derived_user_fit",L6="")),"Incomplete","Complete")</x:f>
        <x:v>Incomplete</x:v>
      </x:c>
      <x:c r="P6" s="45" t="str">
        <x:v>Draft</x:v>
      </x:c>
    </x:row>
    <x:row r="7" ht="78" customHeight="1">
      <x:c r="A7" s="129" t="str"/>
      <x:c r="B7" s="129" t="str">
        <x:v>conditioning_level</x:v>
      </x:c>
      <x:c r="C7" s="129" t="str"/>
      <x:c r="D7" s="129" t="str">
        <x:v>direct_product_property</x:v>
      </x:c>
      <x:c r="E7" s="129" t="str"/>
      <x:c r="F7" s="129" t="str"/>
      <x:c r="G7" s="129" t="str"/>
      <x:c r="H7" s="129" t="str"/>
      <x:c r="I7" s="129" t="str"/>
      <x:c r="J7" s="129" t="str"/>
      <x:c r="K7" s="129" t="str"/>
      <x:c r="L7" s="129" t="str"/>
      <x:c r="M7" s="129" t="str"/>
      <x:c r="N7" s="129" t="str"/>
      <x:c r="O7" s="129" t="str">
        <x:f>IF(OR(C7="",D7="",E7="",F7="",G7="",H7="",I7="",J7="",K7="",M7="",AND(D7="derived_user_fit",L7="")),"Incomplete","Complete")</x:f>
        <x:v>Incomplete</x:v>
      </x:c>
      <x:c r="P7" s="45" t="str">
        <x:v>Draft</x:v>
      </x:c>
    </x:row>
    <x:row r="8" ht="78" customHeight="1">
      <x:c r="A8" s="129" t="str"/>
      <x:c r="B8" s="129" t="str">
        <x:v>weight_potential</x:v>
      </x:c>
      <x:c r="C8" s="129" t="str"/>
      <x:c r="D8" s="129" t="str">
        <x:v>direct_product_property</x:v>
      </x:c>
      <x:c r="E8" s="129" t="str"/>
      <x:c r="F8" s="129" t="str"/>
      <x:c r="G8" s="129" t="str"/>
      <x:c r="H8" s="129" t="str"/>
      <x:c r="I8" s="129" t="str"/>
      <x:c r="J8" s="129" t="str"/>
      <x:c r="K8" s="129" t="str"/>
      <x:c r="L8" s="129" t="str"/>
      <x:c r="M8" s="129" t="str"/>
      <x:c r="N8" s="129" t="str"/>
      <x:c r="O8" s="129" t="str">
        <x:f>IF(OR(C8="",D8="",E8="",F8="",G8="",H8="",I8="",J8="",K8="",M8="",AND(D8="derived_user_fit",L8="")),"Incomplete","Complete")</x:f>
        <x:v>Incomplete</x:v>
      </x:c>
      <x:c r="P8" s="45" t="str">
        <x:v>Draft</x:v>
      </x:c>
    </x:row>
    <x:row r="9" ht="78" customHeight="1">
      <x:c r="A9" s="129" t="str"/>
      <x:c r="B9" s="129" t="str">
        <x:v>focus.primary</x:v>
      </x:c>
      <x:c r="C9" s="129" t="str"/>
      <x:c r="D9" s="129" t="str">
        <x:v>direct_product_property</x:v>
      </x:c>
      <x:c r="E9" s="129" t="str"/>
      <x:c r="F9" s="129" t="str"/>
      <x:c r="G9" s="129" t="str"/>
      <x:c r="H9" s="129" t="str"/>
      <x:c r="I9" s="129" t="str"/>
      <x:c r="J9" s="129" t="str"/>
      <x:c r="K9" s="129" t="str"/>
      <x:c r="L9" s="129" t="str"/>
      <x:c r="M9" s="129" t="str"/>
      <x:c r="N9" s="129" t="str"/>
      <x:c r="O9" s="129" t="str">
        <x:f>IF(OR(C9="",D9="",E9="",F9="",G9="",H9="",I9="",J9="",K9="",M9="",AND(D9="derived_user_fit",L9="")),"Incomplete","Complete")</x:f>
        <x:v>Incomplete</x:v>
      </x:c>
      <x:c r="P9" s="45" t="str">
        <x:v>Draft</x:v>
      </x:c>
    </x:row>
    <x:row r="10" ht="78" customHeight="1">
      <x:c r="A10" s="129" t="str"/>
      <x:c r="B10" s="129" t="str">
        <x:v>focus.secondary</x:v>
      </x:c>
      <x:c r="C10" s="129" t="str"/>
      <x:c r="D10" s="129" t="str">
        <x:v>direct_product_property</x:v>
      </x:c>
      <x:c r="E10" s="129" t="str"/>
      <x:c r="F10" s="129" t="str"/>
      <x:c r="G10" s="129" t="str"/>
      <x:c r="H10" s="129" t="str"/>
      <x:c r="I10" s="129" t="str"/>
      <x:c r="J10" s="129" t="str"/>
      <x:c r="K10" s="129" t="str"/>
      <x:c r="L10" s="129" t="str"/>
      <x:c r="M10" s="129" t="str"/>
      <x:c r="N10" s="129" t="str"/>
      <x:c r="O10" s="129" t="str">
        <x:f>IF(OR(C10="",D10="",E10="",F10="",G10="",H10="",I10="",J10="",K10="",M10="",AND(D10="derived_user_fit",L10="")),"Incomplete","Complete")</x:f>
        <x:v>Incomplete</x:v>
      </x:c>
      <x:c r="P10" s="45" t="str">
        <x:v>Draft</x:v>
      </x:c>
    </x:row>
    <x:row r="11" ht="78" customHeight="1">
      <x:c r="A11" s="129" t="str"/>
      <x:c r="B11" s="129" t="str">
        <x:v>usage_role</x:v>
      </x:c>
      <x:c r="C11" s="129" t="str"/>
      <x:c r="D11" s="129" t="str">
        <x:v>direct_product_property</x:v>
      </x:c>
      <x:c r="E11" s="129" t="str"/>
      <x:c r="F11" s="129" t="str"/>
      <x:c r="G11" s="129" t="str"/>
      <x:c r="H11" s="129" t="str"/>
      <x:c r="I11" s="129" t="str"/>
      <x:c r="J11" s="129" t="str"/>
      <x:c r="K11" s="129" t="str"/>
      <x:c r="L11" s="129" t="str"/>
      <x:c r="M11" s="129" t="str"/>
      <x:c r="N11" s="129" t="str"/>
      <x:c r="O11" s="129" t="str">
        <x:f>IF(OR(C11="",D11="",E11="",F11="",G11="",H11="",I11="",J11="",K11="",M11="",AND(D11="derived_user_fit",L11="")),"Incomplete","Complete")</x:f>
        <x:v>Incomplete</x:v>
      </x:c>
      <x:c r="P11" s="45" t="str">
        <x:v>Draft</x:v>
      </x:c>
    </x:row>
    <x:row r="12" ht="78" customHeight="1">
      <x:c r="A12" s="129" t="str"/>
      <x:c r="B12" s="129" t="str">
        <x:v>hair_thickness_fit.fine</x:v>
      </x:c>
      <x:c r="C12" s="129" t="str"/>
      <x:c r="D12" s="129" t="str">
        <x:v>derived_user_fit</x:v>
      </x:c>
      <x:c r="E12" s="129" t="str"/>
      <x:c r="F12" s="129" t="str"/>
      <x:c r="G12" s="129" t="str"/>
      <x:c r="H12" s="129" t="str"/>
      <x:c r="I12" s="129" t="str"/>
      <x:c r="J12" s="129" t="str"/>
      <x:c r="K12" s="129" t="str"/>
      <x:c r="L12" s="129" t="str">
        <x:v>conditioning_level; weight_potential; cleansing_strength; focus; damage_context</x:v>
      </x:c>
      <x:c r="M12" s="129" t="str"/>
      <x:c r="N12" s="129" t="str"/>
      <x:c r="O12" s="129" t="str">
        <x:f>IF(OR(C12="",D12="",E12="",F12="",G12="",H12="",I12="",J12="",K12="",M12="",AND(D12="derived_user_fit",L12="")),"Incomplete","Complete")</x:f>
        <x:v>Incomplete</x:v>
      </x:c>
      <x:c r="P12" s="45" t="str">
        <x:v>Draft</x:v>
      </x:c>
    </x:row>
    <x:row r="13" ht="78" customHeight="1">
      <x:c r="A13" s="129" t="str"/>
      <x:c r="B13" s="129" t="str">
        <x:v>hair_thickness_fit.medium</x:v>
      </x:c>
      <x:c r="C13" s="129" t="str"/>
      <x:c r="D13" s="129" t="str">
        <x:v>derived_user_fit</x:v>
      </x:c>
      <x:c r="E13" s="129" t="str"/>
      <x:c r="F13" s="129" t="str"/>
      <x:c r="G13" s="129" t="str"/>
      <x:c r="H13" s="129" t="str"/>
      <x:c r="I13" s="129" t="str"/>
      <x:c r="J13" s="129" t="str"/>
      <x:c r="K13" s="129" t="str"/>
      <x:c r="L13" s="129" t="str">
        <x:v>conditioning_level; weight_potential; cleansing_strength; focus; damage_context</x:v>
      </x:c>
      <x:c r="M13" s="129" t="str"/>
      <x:c r="N13" s="129" t="str"/>
      <x:c r="O13" s="129" t="str">
        <x:f>IF(OR(C13="",D13="",E13="",F13="",G13="",H13="",I13="",J13="",K13="",M13="",AND(D13="derived_user_fit",L13="")),"Incomplete","Complete")</x:f>
        <x:v>Incomplete</x:v>
      </x:c>
      <x:c r="P13" s="45" t="str">
        <x:v>Draft</x:v>
      </x:c>
    </x:row>
    <x:row r="14" ht="78" customHeight="1">
      <x:c r="A14" s="129" t="str"/>
      <x:c r="B14" s="129" t="str">
        <x:v>hair_thickness_fit.coarse</x:v>
      </x:c>
      <x:c r="C14" s="129" t="str"/>
      <x:c r="D14" s="129" t="str">
        <x:v>derived_user_fit</x:v>
      </x:c>
      <x:c r="E14" s="129" t="str"/>
      <x:c r="F14" s="129" t="str"/>
      <x:c r="G14" s="129" t="str"/>
      <x:c r="H14" s="129" t="str"/>
      <x:c r="I14" s="129" t="str"/>
      <x:c r="J14" s="129" t="str"/>
      <x:c r="K14" s="129" t="str"/>
      <x:c r="L14" s="129" t="str">
        <x:v>conditioning_level; weight_potential; cleansing_strength; focus; damage_context</x:v>
      </x:c>
      <x:c r="M14" s="129" t="str"/>
      <x:c r="N14" s="129" t="str"/>
      <x:c r="O14" s="129" t="str">
        <x:f>IF(OR(C14="",D14="",E14="",F14="",G14="",H14="",I14="",J14="",K14="",M14="",AND(D14="derived_user_fit",L14="")),"Incomplete","Complete")</x:f>
        <x:v>Incomplete</x:v>
      </x:c>
      <x:c r="P14" s="45" t="str">
        <x:v>Draft</x:v>
      </x:c>
    </x:row>
    <x:row r="15" ht="78" customHeight="1">
      <x:c r="A15" s="129" t="str"/>
      <x:c r="B15" s="129" t="str">
        <x:v>scalp_fit.oily</x:v>
      </x:c>
      <x:c r="C15" s="129" t="str"/>
      <x:c r="D15" s="129" t="str">
        <x:v>derived_user_fit</x:v>
      </x:c>
      <x:c r="E15" s="129" t="str"/>
      <x:c r="F15" s="129" t="str"/>
      <x:c r="G15" s="129" t="str"/>
      <x:c r="H15" s="129" t="str"/>
      <x:c r="I15" s="129" t="str"/>
      <x:c r="J15" s="129" t="str"/>
      <x:c r="K15" s="129" t="str"/>
      <x:c r="L15" s="129" t="str">
        <x:v>cleansing_strength; organic_clarification; weight_potential; usage_role</x:v>
      </x:c>
      <x:c r="M15" s="129" t="str"/>
      <x:c r="N15" s="129" t="str"/>
      <x:c r="O15" s="129" t="str">
        <x:f>IF(OR(C15="",D15="",E15="",F15="",G15="",H15="",I15="",J15="",K15="",M15="",AND(D15="derived_user_fit",L15="")),"Incomplete","Complete")</x:f>
        <x:v>Incomplete</x:v>
      </x:c>
      <x:c r="P15" s="45" t="str">
        <x:v>Draft</x:v>
      </x:c>
    </x:row>
    <x:row r="16" ht="78" customHeight="1">
      <x:c r="A16" s="129" t="str"/>
      <x:c r="B16" s="129" t="str">
        <x:v>scalp_fit.normal</x:v>
      </x:c>
      <x:c r="C16" s="129" t="str"/>
      <x:c r="D16" s="129" t="str">
        <x:v>derived_user_fit</x:v>
      </x:c>
      <x:c r="E16" s="129" t="str"/>
      <x:c r="F16" s="129" t="str"/>
      <x:c r="G16" s="129" t="str"/>
      <x:c r="H16" s="129" t="str"/>
      <x:c r="I16" s="129" t="str"/>
      <x:c r="J16" s="129" t="str"/>
      <x:c r="K16" s="129" t="str"/>
      <x:c r="L16" s="129" t="str">
        <x:v>cleansing_strength; conditioning_level; usage_role</x:v>
      </x:c>
      <x:c r="M16" s="129" t="str"/>
      <x:c r="N16" s="129" t="str"/>
      <x:c r="O16" s="129" t="str">
        <x:f>IF(OR(C16="",D16="",E16="",F16="",G16="",H16="",I16="",J16="",K16="",M16="",AND(D16="derived_user_fit",L16="")),"Incomplete","Complete")</x:f>
        <x:v>Incomplete</x:v>
      </x:c>
      <x:c r="P16" s="45" t="str">
        <x:v>Draft</x:v>
      </x:c>
    </x:row>
    <x:row r="17" ht="78" customHeight="1">
      <x:c r="A17" s="129" t="str"/>
      <x:c r="B17" s="129" t="str">
        <x:v>scalp_fit.dry</x:v>
      </x:c>
      <x:c r="C17" s="129" t="str"/>
      <x:c r="D17" s="129" t="str">
        <x:v>derived_user_fit</x:v>
      </x:c>
      <x:c r="E17" s="129" t="str"/>
      <x:c r="F17" s="129" t="str"/>
      <x:c r="G17" s="129" t="str"/>
      <x:c r="H17" s="129" t="str"/>
      <x:c r="I17" s="129" t="str"/>
      <x:c r="J17" s="129" t="str"/>
      <x:c r="K17" s="129" t="str"/>
      <x:c r="L17" s="129" t="str">
        <x:v>cleansing_strength; mildness_potential; refatting_signals; exposure_flags</x:v>
      </x:c>
      <x:c r="M17" s="129" t="str"/>
      <x:c r="N17" s="129" t="str"/>
      <x:c r="O17" s="129" t="str">
        <x:f>IF(OR(C17="",D17="",E17="",F17="",G17="",H17="",I17="",J17="",K17="",M17="",AND(D17="derived_user_fit",L17="")),"Incomplete","Complete")</x:f>
        <x:v>Incomplete</x:v>
      </x:c>
      <x:c r="P17" s="45" t="str">
        <x:v>Draft</x:v>
      </x:c>
    </x:row>
    <x:row r="18" ht="78" customHeight="1">
      <x:c r="A18" s="46" t="str"/>
      <x:c r="B18" s="46" t="str">
        <x:v>scalp_fit.sensitive</x:v>
      </x:c>
      <x:c r="C18" s="46" t="str"/>
      <x:c r="D18" s="46" t="str">
        <x:v>derived_user_fit</x:v>
      </x:c>
      <x:c r="E18" s="46" t="str"/>
      <x:c r="F18" s="46" t="str"/>
      <x:c r="G18" s="46" t="str"/>
      <x:c r="H18" s="46" t="str"/>
      <x:c r="I18" s="46" t="str"/>
      <x:c r="J18" s="46" t="str"/>
      <x:c r="K18" s="46" t="str"/>
      <x:c r="L18" s="46" t="str">
        <x:v>exposure_flags; mildness_potential; tolerance_evidence</x:v>
      </x:c>
      <x:c r="M18" s="46" t="str"/>
      <x:c r="N18" s="46" t="str"/>
      <x:c r="O18" s="46" t="str">
        <x:f>IF(OR(C18="",D18="",E18="",F18="",G18="",H18="",I18="",J18="",K18="",M18="",AND(D18="derived_user_fit",L18="")),"Incomplete","Complete")</x:f>
        <x:v>Incomplete</x:v>
      </x:c>
      <x:c r="P18" s="47" t="str">
        <x:v>Draft</x:v>
      </x:c>
    </x:row>
    <x:row r="21" ht="27" customHeight="1">
      <x:c r="A21" s="230" t="str">
        <x:v>WORKED EVIDENCE-CHAIN EXAMPLE — FINE-HAIR FIT</x:v>
      </x:c>
      <x:c r="B21" s="230"/>
      <x:c r="C21" s="230"/>
      <x:c r="D21" s="230"/>
      <x:c r="E21" s="230"/>
      <x:c r="F21" s="230"/>
      <x:c r="G21" s="230"/>
      <x:c r="H21" s="230"/>
      <x:c r="I21" s="230"/>
      <x:c r="J21" s="230"/>
      <x:c r="K21" s="230"/>
      <x:c r="L21" s="230"/>
      <x:c r="M21" s="230"/>
      <x:c r="N21" s="230"/>
      <x:c r="O21" s="230"/>
      <x:c r="P21" s="230"/>
    </x:row>
    <x:row r="22" ht="105" customHeight="1">
      <x:c r="A22" s="231" t="str">
        <x:v>EXAMPLE-001</x:v>
      </x:c>
      <x:c r="B22" s="231" t="str">
        <x:v>hair_thickness_fit.fine</x:v>
      </x:c>
      <x:c r="C22" s="231" t="str">
        <x:v>conditional</x:v>
      </x:c>
      <x:c r="D22" s="231" t="str">
        <x:v>derived_user_fit</x:v>
      </x:c>
      <x:c r="E22" s="231" t="str">
        <x:v>moderate</x:v>
      </x:c>
      <x:c r="F22" s="231" t="str">
        <x:v>E2</x:v>
      </x:c>
      <x:c r="G22" s="231" t="str">
        <x:v>formula_only</x:v>
      </x:c>
      <x:c r="H22" s="231" t="str">
        <x:v>Moderate deposition can help fine damaged hair but may add weight; strong cleansing partly offsets root flattening.</x:v>
      </x:c>
      <x:c r="I22" s="231" t="str">
        <x:v>Dimethicone + Amodimethicone + cationic guar; SLES-led cleanser.</x:v>
      </x:c>
      <x:c r="J22" s="231" t="str">
        <x:v>Conditioning high; weight moderate; cleansing strong.</x:v>
      </x:c>
      <x:c r="K22" s="231" t="str">
        <x:v>Healthy very-fine hair with low cleansing need may still feel coated.</x:v>
      </x:c>
      <x:c r="L22" s="231" t="str">
        <x:v>conditioning_level; weight_potential; cleansing_strength; damage_context</x:v>
      </x:c>
      <x:c r="M22" s="231" t="str">
        <x:v>formula_1</x:v>
      </x:c>
      <x:c r="N22" s="231" t="str">
        <x:v>silicone_cationic_deposition_1</x:v>
      </x:c>
      <x:c r="O22" s="231" t="str">
        <x:v>Complete</x:v>
      </x:c>
      <x:c r="P22" s="232" t="str">
        <x:v>Approved</x:v>
      </x:c>
    </x:row>
    <x:row r="25" ht="42" customHeight="1">
      <x:c r="A25" s="235" t="str">
        <x:v>Storage recommendation: start with matching_profile_json and research_trace_json. Normalize into a property-evidence table only when property-level analytics, review queues or partial updates become important.</x:v>
      </x:c>
      <x:c r="B25" s="235"/>
      <x:c r="C25" s="235"/>
      <x:c r="D25" s="235"/>
      <x:c r="E25" s="235"/>
      <x:c r="F25" s="235"/>
      <x:c r="G25" s="235"/>
      <x:c r="H25" s="235"/>
      <x:c r="I25" s="235"/>
      <x:c r="J25" s="235"/>
      <x:c r="K25" s="235"/>
      <x:c r="L25" s="235"/>
      <x:c r="M25" s="235"/>
      <x:c r="N25" s="235"/>
      <x:c r="O25" s="235"/>
      <x:c r="P25" s="235"/>
    </x:row>
  </x:sheetData>
  <x:mergeCells>
    <x:mergeCell ref="A1:P1"/>
    <x:mergeCell ref="A2:P2"/>
    <x:mergeCell ref="A21:P21"/>
    <x:mergeCell ref="A25:P25"/>
  </x:mergeCells>
  <x:conditionalFormatting sqref="O6:O18">
    <x:cfRule type="expression" dxfId="0" priority="1">
      <x:formula>O6="Incomplete"</x:formula>
    </x:cfRule>
    <x:cfRule type="expression" dxfId="1" priority="2">
      <x:formula>O6="Complete"</x:formula>
    </x:cfRule>
  </x:conditionalFormatting>
  <x:dataValidations count="5">
    <x:dataValidation type="list" sqref="D6:D18">
      <x:formula1>"direct_product_property,derived_user_fit"</x:formula1>
    </x:dataValidation>
    <x:dataValidation type="list" sqref="E6:E18">
      <x:formula1>"low,moderate,high"</x:formula1>
    </x:dataValidation>
    <x:dataValidation type="list" sqref="F6:F18">
      <x:formula1>"E0,E1,E2,E3,E4,E5"</x:formula1>
    </x:dataValidation>
    <x:dataValidation type="list" sqref="G6:G18">
      <x:formula1>"formula_only,shampoo_only_test,multi_product_test,unclear"</x:formula1>
    </x:dataValidation>
    <x:dataValidation type="list" sqref="P6:P18">
      <x:formula1>"Draft,Needs review,Approved,Provisional"</x:formula1>
    </x:dataValidation>
  </x:dataValidations>
  <x:pageMargins left="0.7" right="0.7" top="0.75" bottom="0.75" header="0.3" footer="0.3"/>
</x:worksheet>
</file>